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8.xml" ContentType="application/vnd.openxmlformats-officedocument.spreadsheetml.pivot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9.xml" ContentType="application/vnd.openxmlformats-officedocument.spreadsheetml.pivot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399B9C95-1E06-4D2C-B537-B352356DAF79}" xr6:coauthVersionLast="47" xr6:coauthVersionMax="47" xr10:uidLastSave="{00000000-0000-0000-0000-000000000000}"/>
  <bookViews>
    <workbookView xWindow="-108" yWindow="-108" windowWidth="23256" windowHeight="13176" firstSheet="11" activeTab="13" xr2:uid="{00000000-000D-0000-FFFF-FFFF00000000}"/>
  </bookViews>
  <sheets>
    <sheet name="Task 1" sheetId="7" r:id="rId1"/>
    <sheet name="task 2 engagement rate" sheetId="8" r:id="rId2"/>
    <sheet name="task 2 top 10 posts" sheetId="9" r:id="rId3"/>
    <sheet name="task 2 pivot table" sheetId="14" r:id="rId4"/>
    <sheet name="Task 3" sheetId="17" r:id="rId5"/>
    <sheet name="task 4" sheetId="18" r:id="rId6"/>
    <sheet name="task 2 unsplit dataset" sheetId="12" state="hidden" r:id="rId7"/>
    <sheet name="task 5" sheetId="23" r:id="rId8"/>
    <sheet name="task 5 sums nd avg" sheetId="21" state="hidden" r:id="rId9"/>
    <sheet name="Roi &amp; follower growth" sheetId="29" r:id="rId10"/>
    <sheet name="Task 6 FL Gain &amp; Correltion" sheetId="28" r:id="rId11"/>
    <sheet name=" Task 6 moving Avg" sheetId="26" r:id="rId12"/>
    <sheet name="Task 7 vid explanation" sheetId="30" r:id="rId13"/>
    <sheet name="Readme,Summery,Sub info" sheetId="31" r:id="rId14"/>
    <sheet name="Posts (PQ)" sheetId="6" r:id="rId15"/>
    <sheet name="Engagement Summary (PQ)" sheetId="5" r:id="rId16"/>
    <sheet name="Campaign Metadata (PQ)" sheetId="4" r:id="rId17"/>
    <sheet name="Posts" sheetId="1" state="hidden" r:id="rId18"/>
    <sheet name="Engagement Summary" sheetId="2" state="hidden" r:id="rId19"/>
    <sheet name="Campaign Metadata" sheetId="3" state="hidden" r:id="rId20"/>
  </sheets>
  <definedNames>
    <definedName name="_xlcn.WorksheetConnection_Spotifyprojectv3final.xlsxCampaign_Metadata1" hidden="1">Campaign_Metadata[]</definedName>
    <definedName name="_xlcn.WorksheetConnection_Spotifyprojectv3final.xlsxEngagement_Summary1" hidden="1">Engagement_Summary[]</definedName>
    <definedName name="_xlcn.WorksheetConnection_Spotifyprojectv3final.xlsxPosts1" hidden="1">Posts[]</definedName>
    <definedName name="ExternalData_1" localSheetId="16" hidden="1">'Campaign Metadata (PQ)'!$A$1:$G$5</definedName>
    <definedName name="ExternalData_1" localSheetId="7" hidden="1">'task 5'!$A$1:$C$5</definedName>
    <definedName name="ExternalData_2" localSheetId="11" hidden="1">' Task 6 moving Avg'!$A$1:$E$201</definedName>
    <definedName name="ExternalData_2" localSheetId="15" hidden="1">'Engagement Summary (PQ)'!$A$1:$G$201</definedName>
    <definedName name="ExternalData_2" localSheetId="9" hidden="1">'Roi &amp; follower growth'!$A$1:$I$201</definedName>
    <definedName name="ExternalData_2" localSheetId="7" hidden="1">'task 5'!#REF!</definedName>
    <definedName name="ExternalData_3" localSheetId="14" hidden="1">'Posts (PQ)'!$A$1:$M$301</definedName>
    <definedName name="ExternalData_4" localSheetId="0" hidden="1">'Task 1'!$A$1:$N$301</definedName>
    <definedName name="ExternalData_5" localSheetId="1" hidden="1">'task 2 engagement rate'!$A$1:$O$301</definedName>
    <definedName name="ExternalData_6" localSheetId="2" hidden="1">'task 2 top 10 posts'!$A$1:$O$11</definedName>
    <definedName name="ExternalData_6" localSheetId="6" hidden="1">'task 2 unsplit dataset'!$A$1:$N$301</definedName>
    <definedName name="NativeTimeline_Week_Start_Date">#N/A</definedName>
  </definedNames>
  <calcPr calcId="191029"/>
  <pivotCaches>
    <pivotCache cacheId="6" r:id="rId21"/>
    <pivotCache cacheId="8" r:id="rId22"/>
    <pivotCache cacheId="2" r:id="rId23"/>
    <pivotCache cacheId="9" r:id="rId24"/>
    <pivotCache cacheId="4" r:id="rId25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26"/>
      </x15:timelineCacheRefs>
    </ext>
    <ext xmlns:x15="http://schemas.microsoft.com/office/spreadsheetml/2010/11/main" uri="{FCE2AD5D-F65C-4FA6-A056-5C36A1767C68}">
      <x15:dataModel>
        <x15:modelTables>
          <x15:modelTable id="task 2 unsplit dataset_51f98256-6fb0-459a-8357-d2bee05b1e5e" name="task 2 unsplit dataset" connection="Query - task 2 unsplit dataset"/>
          <x15:modelTable id="Engagement_Summary" name="Engagement_Summary" connection="WorksheetConnection_Spotify project v3 final.xlsx!Engagement_Summary"/>
          <x15:modelTable id="Posts" name="Posts" connection="WorksheetConnection_Spotify project v3 final.xlsx!Posts"/>
          <x15:modelTable id="Campaign_Metadata" name="Campaign_Metadata" connection="WorksheetConnection_Spotify project v3 final.xlsx!Campaign_Metadata"/>
        </x15:modelTables>
      </x15:dataModel>
    </ext>
  </extLst>
</workbook>
</file>

<file path=xl/calcChain.xml><?xml version="1.0" encoding="utf-8"?>
<calcChain xmlns="http://schemas.openxmlformats.org/spreadsheetml/2006/main">
  <c r="E2" i="23" l="1"/>
  <c r="E3" i="23"/>
  <c r="E4" i="23"/>
  <c r="E5" i="23"/>
  <c r="G2" i="29"/>
  <c r="G3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93" i="29"/>
  <c r="G19" i="29"/>
  <c r="G20" i="29"/>
  <c r="G21" i="29"/>
  <c r="G22" i="29"/>
  <c r="G23" i="29"/>
  <c r="G24" i="29"/>
  <c r="G25" i="29"/>
  <c r="G26" i="29"/>
  <c r="G27" i="29"/>
  <c r="G28" i="29"/>
  <c r="G153" i="29"/>
  <c r="G30" i="29"/>
  <c r="G81" i="29"/>
  <c r="G76" i="29"/>
  <c r="G33" i="29"/>
  <c r="G34" i="29"/>
  <c r="G35" i="29"/>
  <c r="G36" i="29"/>
  <c r="G37" i="29"/>
  <c r="G38" i="29"/>
  <c r="G39" i="29"/>
  <c r="G40" i="29"/>
  <c r="G41" i="29"/>
  <c r="G42" i="29"/>
  <c r="G43" i="29"/>
  <c r="G44" i="29"/>
  <c r="G45" i="29"/>
  <c r="G46" i="29"/>
  <c r="G47" i="29"/>
  <c r="G48" i="29"/>
  <c r="G49" i="29"/>
  <c r="G50" i="29"/>
  <c r="G51" i="29"/>
  <c r="G52" i="29"/>
  <c r="G53" i="29"/>
  <c r="G54" i="29"/>
  <c r="G55" i="29"/>
  <c r="G56" i="29"/>
  <c r="G57" i="29"/>
  <c r="G58" i="29"/>
  <c r="G59" i="29"/>
  <c r="G60" i="29"/>
  <c r="G61" i="29"/>
  <c r="G62" i="29"/>
  <c r="G63" i="29"/>
  <c r="G64" i="29"/>
  <c r="G65" i="29"/>
  <c r="G66" i="29"/>
  <c r="G67" i="29"/>
  <c r="G68" i="29"/>
  <c r="G18" i="29"/>
  <c r="G70" i="29"/>
  <c r="G71" i="29"/>
  <c r="G72" i="29"/>
  <c r="G73" i="29"/>
  <c r="G74" i="29"/>
  <c r="G75" i="29"/>
  <c r="G154" i="29"/>
  <c r="G77" i="29"/>
  <c r="G196" i="29"/>
  <c r="G115" i="29"/>
  <c r="G80" i="29"/>
  <c r="G102" i="29"/>
  <c r="G82" i="29"/>
  <c r="G83" i="29"/>
  <c r="G84" i="29"/>
  <c r="G85" i="29"/>
  <c r="G86" i="29"/>
  <c r="G87" i="29"/>
  <c r="G88" i="29"/>
  <c r="G89" i="29"/>
  <c r="G90" i="29"/>
  <c r="G91" i="29"/>
  <c r="G92" i="29"/>
  <c r="G29" i="29"/>
  <c r="G94" i="29"/>
  <c r="G95" i="29"/>
  <c r="G96" i="29"/>
  <c r="G97" i="29"/>
  <c r="G98" i="29"/>
  <c r="G111" i="29"/>
  <c r="G100" i="29"/>
  <c r="G101" i="29"/>
  <c r="G79" i="29"/>
  <c r="G103" i="29"/>
  <c r="G134" i="29"/>
  <c r="G105" i="29"/>
  <c r="G106" i="29"/>
  <c r="G107" i="29"/>
  <c r="G108" i="29"/>
  <c r="G109" i="29"/>
  <c r="G110" i="29"/>
  <c r="G31" i="29"/>
  <c r="G112" i="29"/>
  <c r="G113" i="29"/>
  <c r="G114" i="29"/>
  <c r="G78" i="29"/>
  <c r="G116" i="29"/>
  <c r="G117" i="29"/>
  <c r="G118" i="29"/>
  <c r="G119" i="29"/>
  <c r="G120" i="29"/>
  <c r="G121" i="29"/>
  <c r="G122" i="29"/>
  <c r="G123" i="29"/>
  <c r="G124" i="29"/>
  <c r="G125" i="29"/>
  <c r="G126" i="29"/>
  <c r="G127" i="29"/>
  <c r="G128" i="29"/>
  <c r="G129" i="29"/>
  <c r="G130" i="29"/>
  <c r="G131" i="29"/>
  <c r="G132" i="29"/>
  <c r="G99" i="29"/>
  <c r="G184" i="29"/>
  <c r="G135" i="29"/>
  <c r="G136" i="29"/>
  <c r="G137" i="29"/>
  <c r="G138" i="29"/>
  <c r="G139" i="29"/>
  <c r="G140" i="29"/>
  <c r="G141" i="29"/>
  <c r="G142" i="29"/>
  <c r="G143" i="29"/>
  <c r="G144" i="29"/>
  <c r="G145" i="29"/>
  <c r="G146" i="29"/>
  <c r="G147" i="29"/>
  <c r="G148" i="29"/>
  <c r="G149" i="29"/>
  <c r="G150" i="29"/>
  <c r="G151" i="29"/>
  <c r="G152" i="29"/>
  <c r="G133" i="29"/>
  <c r="G104" i="29"/>
  <c r="G155" i="29"/>
  <c r="G156" i="29"/>
  <c r="G157" i="29"/>
  <c r="G158" i="29"/>
  <c r="G159" i="29"/>
  <c r="G160" i="29"/>
  <c r="G161" i="29"/>
  <c r="G162" i="29"/>
  <c r="G163" i="29"/>
  <c r="G164" i="29"/>
  <c r="G165" i="29"/>
  <c r="G166" i="29"/>
  <c r="G167" i="29"/>
  <c r="G168" i="29"/>
  <c r="G169" i="29"/>
  <c r="G170" i="29"/>
  <c r="G171" i="29"/>
  <c r="G172" i="29"/>
  <c r="G173" i="29"/>
  <c r="G174" i="29"/>
  <c r="G175" i="29"/>
  <c r="G176" i="29"/>
  <c r="G177" i="29"/>
  <c r="G178" i="29"/>
  <c r="G179" i="29"/>
  <c r="G180" i="29"/>
  <c r="G181" i="29"/>
  <c r="G182" i="29"/>
  <c r="G183" i="29"/>
  <c r="G69" i="29"/>
  <c r="G185" i="29"/>
  <c r="G186" i="29"/>
  <c r="G187" i="29"/>
  <c r="G188" i="29"/>
  <c r="G189" i="29"/>
  <c r="G190" i="29"/>
  <c r="G191" i="29"/>
  <c r="G192" i="29"/>
  <c r="G193" i="29"/>
  <c r="G194" i="29"/>
  <c r="G195" i="29"/>
  <c r="G32" i="29"/>
  <c r="G197" i="29"/>
  <c r="G198" i="29"/>
  <c r="G199" i="29"/>
  <c r="G200" i="29"/>
  <c r="G201" i="29"/>
  <c r="D3" i="23"/>
  <c r="F2" i="29"/>
  <c r="F3" i="29"/>
  <c r="F4" i="29"/>
  <c r="F5" i="29"/>
  <c r="F6" i="29"/>
  <c r="F7" i="29"/>
  <c r="F8" i="29"/>
  <c r="F9" i="29"/>
  <c r="F10" i="29"/>
  <c r="F11" i="29"/>
  <c r="F12" i="29"/>
  <c r="F13" i="29"/>
  <c r="F14" i="29"/>
  <c r="F15" i="29"/>
  <c r="F16" i="29"/>
  <c r="F17" i="29"/>
  <c r="F93" i="29"/>
  <c r="F19" i="29"/>
  <c r="F20" i="29"/>
  <c r="F21" i="29"/>
  <c r="F22" i="29"/>
  <c r="F23" i="29"/>
  <c r="F24" i="29"/>
  <c r="F25" i="29"/>
  <c r="F26" i="29"/>
  <c r="F27" i="29"/>
  <c r="F28" i="29"/>
  <c r="F153" i="29"/>
  <c r="F30" i="29"/>
  <c r="F81" i="29"/>
  <c r="F76" i="29"/>
  <c r="F33" i="29"/>
  <c r="F34" i="29"/>
  <c r="F35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6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18" i="29"/>
  <c r="F70" i="29"/>
  <c r="F71" i="29"/>
  <c r="F72" i="29"/>
  <c r="F73" i="29"/>
  <c r="F74" i="29"/>
  <c r="F75" i="29"/>
  <c r="F154" i="29"/>
  <c r="F77" i="29"/>
  <c r="F196" i="29"/>
  <c r="F115" i="29"/>
  <c r="F80" i="29"/>
  <c r="F102" i="29"/>
  <c r="F82" i="29"/>
  <c r="F83" i="29"/>
  <c r="F84" i="29"/>
  <c r="F85" i="29"/>
  <c r="F86" i="29"/>
  <c r="F87" i="29"/>
  <c r="F88" i="29"/>
  <c r="F89" i="29"/>
  <c r="F90" i="29"/>
  <c r="F91" i="29"/>
  <c r="F92" i="29"/>
  <c r="F29" i="29"/>
  <c r="F94" i="29"/>
  <c r="F95" i="29"/>
  <c r="F96" i="29"/>
  <c r="F97" i="29"/>
  <c r="F98" i="29"/>
  <c r="F111" i="29"/>
  <c r="F100" i="29"/>
  <c r="F101" i="29"/>
  <c r="F79" i="29"/>
  <c r="F103" i="29"/>
  <c r="F134" i="29"/>
  <c r="F105" i="29"/>
  <c r="F106" i="29"/>
  <c r="F107" i="29"/>
  <c r="F108" i="29"/>
  <c r="F109" i="29"/>
  <c r="F110" i="29"/>
  <c r="F31" i="29"/>
  <c r="F112" i="29"/>
  <c r="F113" i="29"/>
  <c r="F114" i="29"/>
  <c r="F78" i="29"/>
  <c r="F116" i="29"/>
  <c r="F117" i="29"/>
  <c r="F118" i="29"/>
  <c r="F119" i="29"/>
  <c r="F120" i="29"/>
  <c r="F121" i="29"/>
  <c r="F122" i="29"/>
  <c r="F123" i="29"/>
  <c r="F124" i="29"/>
  <c r="F125" i="29"/>
  <c r="F126" i="29"/>
  <c r="F127" i="29"/>
  <c r="F128" i="29"/>
  <c r="F129" i="29"/>
  <c r="F130" i="29"/>
  <c r="F131" i="29"/>
  <c r="F132" i="29"/>
  <c r="F99" i="29"/>
  <c r="F184" i="29"/>
  <c r="F135" i="29"/>
  <c r="F136" i="29"/>
  <c r="F137" i="29"/>
  <c r="F138" i="29"/>
  <c r="F139" i="29"/>
  <c r="F140" i="29"/>
  <c r="F141" i="29"/>
  <c r="F142" i="29"/>
  <c r="F143" i="29"/>
  <c r="F144" i="29"/>
  <c r="F145" i="29"/>
  <c r="F146" i="29"/>
  <c r="F147" i="29"/>
  <c r="F148" i="29"/>
  <c r="F149" i="29"/>
  <c r="F150" i="29"/>
  <c r="F151" i="29"/>
  <c r="F152" i="29"/>
  <c r="F133" i="29"/>
  <c r="F104" i="29"/>
  <c r="F155" i="29"/>
  <c r="F156" i="29"/>
  <c r="F157" i="29"/>
  <c r="F158" i="29"/>
  <c r="F159" i="29"/>
  <c r="F160" i="29"/>
  <c r="F161" i="29"/>
  <c r="F162" i="29"/>
  <c r="F163" i="29"/>
  <c r="F164" i="29"/>
  <c r="F165" i="29"/>
  <c r="F166" i="29"/>
  <c r="F167" i="29"/>
  <c r="F168" i="29"/>
  <c r="F169" i="29"/>
  <c r="F170" i="29"/>
  <c r="F171" i="29"/>
  <c r="F172" i="29"/>
  <c r="F173" i="29"/>
  <c r="F174" i="29"/>
  <c r="F175" i="29"/>
  <c r="F176" i="29"/>
  <c r="F177" i="29"/>
  <c r="F178" i="29"/>
  <c r="F179" i="29"/>
  <c r="F180" i="29"/>
  <c r="F181" i="29"/>
  <c r="F182" i="29"/>
  <c r="F183" i="29"/>
  <c r="F69" i="29"/>
  <c r="F185" i="29"/>
  <c r="F186" i="29"/>
  <c r="F187" i="29"/>
  <c r="F188" i="29"/>
  <c r="F189" i="29"/>
  <c r="F190" i="29"/>
  <c r="F191" i="29"/>
  <c r="F192" i="29"/>
  <c r="F193" i="29"/>
  <c r="F194" i="29"/>
  <c r="F195" i="29"/>
  <c r="F32" i="29"/>
  <c r="F197" i="29"/>
  <c r="F198" i="29"/>
  <c r="F199" i="29"/>
  <c r="F200" i="29"/>
  <c r="F201" i="29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5" i="26"/>
  <c r="G2" i="26"/>
  <c r="G3" i="26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D2" i="23"/>
  <c r="D4" i="23"/>
  <c r="D5" i="23"/>
  <c r="D3" i="3"/>
  <c r="D4" i="3"/>
  <c r="D5" i="3"/>
  <c r="D2" i="3"/>
  <c r="E4" i="28" l="1"/>
  <c r="F2" i="23"/>
  <c r="F5" i="23"/>
  <c r="F4" i="23"/>
  <c r="F3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C9CFAF8-FCAF-47CE-9058-6CFF3325845E}" keepAlive="1" name="ModelConnection_ExternalData_6" description="Data Model" type="5" refreshedVersion="8" minRefreshableVersion="5" saveData="1">
    <dbPr connection="Data Model Connection" command="task 2 unsplit datase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0E5B7101-8F02-4B19-9BF5-3FB7866BEF67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3" xr16:uid="{56B2950E-D575-4C09-9589-39F3834BDE41}" keepAlive="1" name="Query - Campaign Metadata (2)" description="Connection to the 'Campaign Metadata (2)' query in the workbook." type="5" refreshedVersion="8" background="1" saveData="1">
    <dbPr connection="Provider=Microsoft.Mashup.OleDb.1;Data Source=$Workbook$;Location=&quot;Campaign Metadata (2)&quot;;Extended Properties=&quot;&quot;" command="SELECT * FROM [Campaign Metadata (2)]"/>
  </connection>
  <connection id="4" xr16:uid="{B32ACE2F-7D85-4DD7-ADB2-D50199E4CA1D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5" xr16:uid="{D6582880-2005-4AB5-9DA9-AB58723DFF63}" keepAlive="1" name="Query - Engagement Summary (2)" description="Connection to the 'Engagement Summary (2)' query in the workbook." type="5" refreshedVersion="8" background="1" saveData="1">
    <dbPr connection="Provider=Microsoft.Mashup.OleDb.1;Data Source=$Workbook$;Location=&quot;Engagement Summary (2)&quot;;Extended Properties=&quot;&quot;" command="SELECT * FROM [Engagement Summary (2)]"/>
  </connection>
  <connection id="6" xr16:uid="{10FEC53B-8F16-49A0-90DD-E06A748DB00F}" keepAlive="1" name="Query - Engagement Summary (3)" description="Connection to the 'Engagement Summary (3)' query in the workbook." type="5" refreshedVersion="8" background="1" saveData="1">
    <dbPr connection="Provider=Microsoft.Mashup.OleDb.1;Data Source=$Workbook$;Location=&quot;Engagement Summary (3)&quot;;Extended Properties=&quot;&quot;" command="SELECT * FROM [Engagement Summary (3)]"/>
  </connection>
  <connection id="7" xr16:uid="{4AAC7FC5-3D64-4A1B-A79C-E613DA299971}" keepAlive="1" name="Query - Engagement Summary (4)" description="Connection to the 'Engagement Summary (4)' query in the workbook." type="5" refreshedVersion="8" background="1" saveData="1">
    <dbPr connection="Provider=Microsoft.Mashup.OleDb.1;Data Source=$Workbook$;Location=&quot;Engagement Summary (4)&quot;;Extended Properties=&quot;&quot;" command="SELECT * FROM [Engagement Summary (4)]"/>
  </connection>
  <connection id="8" xr16:uid="{73CE3D6A-8591-4556-8994-AE12589B9EB3}" keepAlive="1" name="Query - Engagement Summary (5)" description="Connection to the 'Engagement Summary (5)' query in the workbook." type="5" refreshedVersion="8" background="1" saveData="1">
    <dbPr connection="Provider=Microsoft.Mashup.OleDb.1;Data Source=$Workbook$;Location=&quot;Engagement Summary (5)&quot;;Extended Properties=&quot;&quot;" command="SELECT * FROM [Engagement Summary (5)]"/>
  </connection>
  <connection id="9" xr16:uid="{5C4EBAD0-8026-4A22-A2C2-AD88FAABF8D9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  <connection id="10" xr16:uid="{AEEC7D85-E710-4106-A8F4-1656D877EAFE}" keepAlive="1" name="Query - task 1" description="Connection to the 'task 1' query in the workbook." type="5" refreshedVersion="8" background="1" saveData="1">
    <dbPr connection="Provider=Microsoft.Mashup.OleDb.1;Data Source=$Workbook$;Location=&quot;task 1&quot;;Extended Properties=&quot;&quot;" command="SELECT * FROM [task 1]"/>
  </connection>
  <connection id="11" xr16:uid="{36BD6B92-5D14-4F60-A41E-387B88749133}" keepAlive="1" name="Query - task 2 engagement analysis" description="Connection to the 'task 2 engagement analysis' query in the workbook." type="5" refreshedVersion="8" background="1" saveData="1">
    <dbPr connection="Provider=Microsoft.Mashup.OleDb.1;Data Source=$Workbook$;Location=&quot;task 2 engagement analysis&quot;;Extended Properties=&quot;&quot;" command="SELECT * FROM [task 2 engagement analysis]"/>
  </connection>
  <connection id="12" xr16:uid="{8D31F7A7-6CE1-423F-A29B-39B150DC9D2E}" keepAlive="1" name="Query - task 2 top 10 posts" description="Connection to the 'task 2 top 10 posts' query in the workbook." type="5" refreshedVersion="8" background="1" saveData="1">
    <dbPr connection="Provider=Microsoft.Mashup.OleDb.1;Data Source=$Workbook$;Location=&quot;task 2 top 10 posts&quot;;Extended Properties=&quot;&quot;" command="SELECT * FROM [task 2 top 10 posts]"/>
  </connection>
  <connection id="13" xr16:uid="{04571993-9CD5-4C99-95E4-43540D2EEF98}" name="Query - task 2 unsplit dataset" description="Connection to the 'task 2 unsplit dataset' query in the workbook." type="100" refreshedVersion="8" minRefreshableVersion="5">
    <extLst>
      <ext xmlns:x15="http://schemas.microsoft.com/office/spreadsheetml/2010/11/main" uri="{DE250136-89BD-433C-8126-D09CA5730AF9}">
        <x15:connection id="02a1150d-d510-4632-a8ea-42dfed05c4e2"/>
      </ext>
    </extLst>
  </connection>
  <connection id="14" xr16:uid="{D868A9A0-6258-4295-8292-7CE700C07DA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5" xr16:uid="{6060ED51-4EA3-46CB-8D1C-13E536B7A3DC}" name="WorksheetConnection_Spotify project v3 final.xlsx!Campaign_Metadata" type="102" refreshedVersion="8" minRefreshableVersion="5">
    <extLst>
      <ext xmlns:x15="http://schemas.microsoft.com/office/spreadsheetml/2010/11/main" uri="{DE250136-89BD-433C-8126-D09CA5730AF9}">
        <x15:connection id="Campaign_Metadata">
          <x15:rangePr sourceName="_xlcn.WorksheetConnection_Spotifyprojectv3final.xlsxCampaign_Metadata1"/>
        </x15:connection>
      </ext>
    </extLst>
  </connection>
  <connection id="16" xr16:uid="{1027F440-1B7C-44E9-BD5E-C2B70E8536EE}" name="WorksheetConnection_Spotify project v3 final.xlsx!Engagement_Summary" type="102" refreshedVersion="8" minRefreshableVersion="5">
    <extLst>
      <ext xmlns:x15="http://schemas.microsoft.com/office/spreadsheetml/2010/11/main" uri="{DE250136-89BD-433C-8126-D09CA5730AF9}">
        <x15:connection id="Engagement_Summary">
          <x15:rangePr sourceName="_xlcn.WorksheetConnection_Spotifyprojectv3final.xlsxEngagement_Summary1"/>
        </x15:connection>
      </ext>
    </extLst>
  </connection>
  <connection id="17" xr16:uid="{D367919D-555A-4D5F-A364-F76F54189471}" name="WorksheetConnection_Spotify project v3 final.xlsx!Posts" type="102" refreshedVersion="8" minRefreshableVersion="5">
    <extLst>
      <ext xmlns:x15="http://schemas.microsoft.com/office/spreadsheetml/2010/11/main" uri="{DE250136-89BD-433C-8126-D09CA5730AF9}">
        <x15:connection id="Posts">
          <x15:rangePr sourceName="_xlcn.WorksheetConnection_Spotifyprojectv3final.xlsxPosts1"/>
        </x15:connection>
      </ext>
    </extLst>
  </connection>
</connections>
</file>

<file path=xl/sharedStrings.xml><?xml version="1.0" encoding="utf-8"?>
<sst xmlns="http://schemas.openxmlformats.org/spreadsheetml/2006/main" count="10899" uniqueCount="511">
  <si>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</si>
  <si>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</si>
  <si>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</si>
  <si>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</si>
  <si>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</si>
  <si>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</si>
  <si>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</si>
  <si>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</si>
  <si>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</si>
  <si>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</si>
  <si>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</si>
  <si>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</si>
  <si>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</si>
  <si>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SP001</t>
  </si>
  <si>
    <t>Instagram</t>
  </si>
  <si>
    <t>Text</t>
  </si>
  <si>
    <t>Discover fresh beats on Spotify!</t>
  </si>
  <si>
    <t>#SoundtrackOfLife,#NowPlaying</t>
  </si>
  <si>
    <t>ChillVibes</t>
  </si>
  <si>
    <t>SP002</t>
  </si>
  <si>
    <t>Explore the latest podcasts now.</t>
  </si>
  <si>
    <t>#DiscoverWeekly</t>
  </si>
  <si>
    <t>IndieWave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</si>
  <si>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</si>
  <si>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</si>
  <si>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</si>
  <si>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</si>
  <si>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</si>
  <si>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</si>
  <si>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ðŸŽ§</t>
  </si>
  <si>
    <t>SP005</t>
  </si>
  <si>
    <t>YouTube</t>
  </si>
  <si>
    <t>Music that moves youâ€”only on Spotify.</t>
  </si>
  <si>
    <t>#DiscoverWeekly,#SpotifyWrapped</t>
  </si>
  <si>
    <t>SP006</t>
  </si>
  <si>
    <t>Whatâ€™s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</si>
  <si>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</si>
  <si>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</si>
  <si>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</si>
  <si>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</si>
  <si>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</si>
  <si>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</si>
  <si>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</si>
  <si>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</si>
  <si>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</si>
  <si>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</si>
  <si>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</si>
  <si>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</si>
  <si>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</si>
  <si>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itâ€™s all here.</t>
  </si>
  <si>
    <t>SP015</t>
  </si>
  <si>
    <t>Your weekend playlist is waiting.</t>
  </si>
  <si>
    <t>SP016</t>
  </si>
  <si>
    <t>SP017</t>
  </si>
  <si>
    <t>SP018</t>
  </si>
  <si>
    <t>Wrapped2024</t>
  </si>
  <si>
    <t>SP019</t>
  </si>
  <si>
    <t>Reel</t>
  </si>
  <si>
    <t>#DiscoverWeekly,#SoundtrackOfLife</t>
  </si>
  <si>
    <t>SummerBeats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</si>
  <si>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</si>
  <si>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</si>
  <si>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</si>
  <si>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</si>
  <si>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</si>
  <si>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</si>
  <si>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</si>
  <si>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</si>
  <si>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</si>
  <si>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</si>
  <si>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</si>
  <si>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</si>
  <si>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</si>
  <si>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</si>
  <si>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</si>
  <si>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</si>
  <si>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</si>
  <si>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</si>
  <si>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</si>
  <si>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</si>
  <si>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</si>
  <si>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</si>
  <si>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</si>
  <si>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</si>
  <si>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</si>
  <si>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</si>
  <si>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</si>
  <si>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</si>
  <si>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</si>
  <si>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</si>
  <si>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</si>
  <si>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</si>
  <si>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</si>
  <si>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</si>
  <si>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</si>
  <si>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</si>
  <si>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</si>
  <si>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</si>
  <si>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</si>
  <si>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</si>
  <si>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</si>
  <si>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</si>
  <si>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</si>
  <si>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</si>
  <si>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</si>
  <si>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</si>
  <si>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</si>
  <si>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</si>
  <si>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</si>
  <si>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</si>
  <si>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</si>
  <si>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</si>
  <si>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</si>
  <si>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</si>
  <si>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</si>
  <si>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</si>
  <si>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</si>
  <si>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</si>
  <si>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</si>
  <si>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</si>
  <si>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</si>
  <si>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</si>
  <si>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</si>
  <si>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</si>
  <si>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</si>
  <si>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</si>
  <si>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</si>
  <si>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</si>
  <si>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</si>
  <si>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</si>
  <si>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</si>
  <si>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</si>
  <si>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</si>
  <si>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</si>
  <si>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</si>
  <si>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</si>
  <si>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</si>
  <si>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</si>
  <si>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</si>
  <si>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</si>
  <si>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</si>
  <si>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</si>
  <si>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</si>
  <si>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</si>
  <si>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</si>
  <si>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</si>
  <si>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</si>
  <si>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</si>
  <si>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</si>
  <si>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</si>
  <si>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</si>
  <si>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</si>
  <si>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</si>
  <si>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</si>
  <si>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</si>
  <si>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</si>
  <si>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</si>
  <si>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</si>
  <si>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</si>
  <si>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</si>
  <si>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</si>
  <si>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</si>
  <si>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</si>
  <si>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</si>
  <si>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</si>
  <si>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</si>
  <si>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</si>
  <si>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</si>
  <si>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</si>
  <si>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</si>
  <si>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</si>
  <si>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</si>
  <si>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</si>
  <si>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</si>
  <si>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</si>
  <si>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</si>
  <si>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</si>
  <si>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</si>
  <si>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</si>
  <si>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</si>
  <si>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</si>
  <si>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</si>
  <si>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</si>
  <si>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</si>
  <si>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</si>
  <si>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</si>
  <si>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</si>
  <si>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</si>
  <si>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</si>
  <si>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</si>
  <si>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</si>
  <si>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</si>
  <si>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</si>
  <si>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</si>
  <si>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</si>
  <si>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</si>
  <si>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</si>
  <si>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</si>
  <si>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</si>
  <si>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</si>
  <si>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</si>
  <si>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</si>
  <si>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</si>
  <si>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</si>
  <si>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</si>
  <si>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</si>
  <si>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</si>
  <si>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</si>
  <si>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</si>
  <si>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</si>
  <si>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</si>
  <si>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</si>
  <si>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</si>
  <si>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</si>
  <si>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</si>
  <si>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</si>
  <si>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</si>
  <si>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</si>
  <si>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</si>
  <si>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</si>
  <si>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</si>
  <si>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</si>
  <si>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</si>
  <si>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</si>
  <si>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</si>
  <si>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</si>
  <si>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</si>
  <si>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</si>
  <si>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</si>
  <si>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</si>
  <si>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</si>
  <si>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</si>
  <si>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</si>
  <si>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</si>
  <si>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</si>
  <si>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</si>
  <si>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</si>
  <si>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</si>
  <si>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</si>
  <si>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</si>
  <si>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</si>
  <si>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</si>
  <si>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</si>
  <si>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</si>
  <si>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</si>
  <si>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</si>
  <si>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</si>
  <si>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</si>
  <si>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</si>
  <si>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</si>
  <si>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</si>
  <si>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</si>
  <si>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</si>
  <si>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</si>
  <si>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</si>
  <si>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</si>
  <si>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</si>
  <si>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</si>
  <si>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</si>
  <si>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</si>
  <si>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</si>
  <si>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</si>
  <si>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</si>
  <si>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</si>
  <si>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</si>
  <si>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</si>
  <si>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</si>
  <si>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</si>
  <si>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</si>
  <si>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</si>
  <si>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</si>
  <si>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</si>
  <si>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</si>
  <si>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</si>
  <si>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</si>
  <si>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</si>
  <si>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</si>
  <si>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</si>
  <si>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</si>
  <si>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</si>
  <si>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</si>
  <si>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</si>
  <si>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</si>
  <si>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</si>
  <si>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</si>
  <si>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</si>
  <si>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</si>
  <si>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</si>
  <si>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</si>
  <si>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</si>
  <si>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</si>
  <si>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</si>
  <si>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</si>
  <si>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</si>
  <si>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</si>
  <si>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</si>
  <si>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</si>
  <si>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</si>
  <si>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</si>
  <si>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</si>
  <si>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</si>
  <si>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</si>
  <si>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</si>
  <si>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</si>
  <si>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</si>
  <si>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</si>
  <si>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</si>
  <si>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</si>
  <si>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</si>
  <si>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</si>
  <si>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</si>
  <si>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</si>
  <si>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</si>
  <si>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</si>
  <si>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</si>
  <si>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</si>
  <si>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</si>
  <si>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</si>
  <si>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</si>
  <si>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</si>
  <si>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</si>
  <si>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</si>
  <si>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</si>
  <si>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</si>
  <si>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</si>
  <si>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</si>
  <si>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</si>
  <si>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</si>
  <si>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</si>
  <si>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</si>
  <si>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</si>
  <si>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</si>
  <si>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</si>
  <si>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</si>
  <si>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</si>
  <si>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</si>
  <si>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</si>
  <si>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</si>
  <si>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</si>
  <si>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</si>
  <si>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</si>
  <si>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</si>
  <si>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</si>
  <si>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</si>
  <si>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</si>
  <si>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</si>
  <si>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</si>
  <si>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</si>
  <si>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</si>
  <si>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</si>
  <si>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</si>
  <si>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</si>
  <si>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</si>
  <si>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</si>
  <si>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2024-07-15</t>
  </si>
  <si>
    <t>Brand Awareness</t>
  </si>
  <si>
    <t>Instagram,YouTube</t>
  </si>
  <si>
    <t>#SpotifyWrapped,#MusicForEveryone</t>
  </si>
  <si>
    <t>2024-12-01</t>
  </si>
  <si>
    <t>2024-12-31</t>
  </si>
  <si>
    <t>Engagement</t>
  </si>
  <si>
    <t>Twitter,YouTube</t>
  </si>
  <si>
    <t>#SpotifyWrapped,#NowPlaying</t>
  </si>
  <si>
    <t>2025-01-10</t>
  </si>
  <si>
    <t>2025-02-10</t>
  </si>
  <si>
    <t>Product Launch</t>
  </si>
  <si>
    <t>Instagram,Twitter</t>
  </si>
  <si>
    <t>#ChillVibes,#SoundtrackOfLife</t>
  </si>
  <si>
    <t>2025-03-01</t>
  </si>
  <si>
    <t>2025-03-31</t>
  </si>
  <si>
    <t>Traffic</t>
  </si>
  <si>
    <t>Facebook,Instagram</t>
  </si>
  <si>
    <t>#DiscoverWeekly,#IndieWave</t>
  </si>
  <si>
    <t>Hashtags Used.1</t>
  </si>
  <si>
    <t>Hashtags Used.2</t>
  </si>
  <si>
    <t>NA</t>
  </si>
  <si>
    <t>#MusicForEveryone</t>
  </si>
  <si>
    <t>#SpotifyWrapped</t>
  </si>
  <si>
    <t>Engagement Rate</t>
  </si>
  <si>
    <t>Row Labels</t>
  </si>
  <si>
    <t>Grand Total</t>
  </si>
  <si>
    <t>Column Labels</t>
  </si>
  <si>
    <t>Sum of Likes</t>
  </si>
  <si>
    <t>Sum of Comments</t>
  </si>
  <si>
    <t>Sum of Shares</t>
  </si>
  <si>
    <t>Average of Clicks</t>
  </si>
  <si>
    <t>Engagement rate</t>
  </si>
  <si>
    <t>(blank)</t>
  </si>
  <si>
    <t>Average of Engagement rate</t>
  </si>
  <si>
    <t>Average of Engagement_Rate</t>
  </si>
  <si>
    <t>Highest engagement platform</t>
  </si>
  <si>
    <t>&lt;03-06-2024</t>
  </si>
  <si>
    <t>Sum of New_Followers</t>
  </si>
  <si>
    <t>03-06-2024 - 09-06-2024</t>
  </si>
  <si>
    <t>10-06-2024 - 16-06-2024</t>
  </si>
  <si>
    <t>17-06-2024 - 23-06-2024</t>
  </si>
  <si>
    <t>24-06-2024 - 30-06-2024</t>
  </si>
  <si>
    <t>01-07-2024 - 07-07-2024</t>
  </si>
  <si>
    <t>08-07-2024 - 14-07-2024</t>
  </si>
  <si>
    <t>15-07-2024 - 21-07-2024</t>
  </si>
  <si>
    <t>22-07-2024 - 28-07-2024</t>
  </si>
  <si>
    <t>29-07-2024 - 04-08-2024</t>
  </si>
  <si>
    <t>05-08-2024 - 11-08-2024</t>
  </si>
  <si>
    <t>12-08-2024 - 18-08-2024</t>
  </si>
  <si>
    <t>19-08-2024 - 25-08-2024</t>
  </si>
  <si>
    <t>26-08-2024 - 01-09-2024</t>
  </si>
  <si>
    <t>02-09-2024 - 08-09-2024</t>
  </si>
  <si>
    <t>09-09-2024 - 15-09-2024</t>
  </si>
  <si>
    <t>16-09-2024 - 22-09-2024</t>
  </si>
  <si>
    <t>23-09-2024 - 29-09-2024</t>
  </si>
  <si>
    <t>30-09-2024 - 06-10-2024</t>
  </si>
  <si>
    <t>07-10-2024 - 13-10-2024</t>
  </si>
  <si>
    <t>14-10-2024 - 20-10-2024</t>
  </si>
  <si>
    <t>21-10-2024 - 27-10-2024</t>
  </si>
  <si>
    <t>28-10-2024 - 03-11-2024</t>
  </si>
  <si>
    <t>04-11-2024 - 10-11-2024</t>
  </si>
  <si>
    <t>11-11-2024 - 17-11-2024</t>
  </si>
  <si>
    <t>18-11-2024 - 24-11-2024</t>
  </si>
  <si>
    <t>25-11-2024 - 01-12-2024</t>
  </si>
  <si>
    <t>02-12-2024 - 08-12-2024</t>
  </si>
  <si>
    <t>09-12-2024 - 15-12-2024</t>
  </si>
  <si>
    <t>16-12-2024 - 22-12-2024</t>
  </si>
  <si>
    <t>23-12-2024 - 29-12-2024</t>
  </si>
  <si>
    <t>30-12-2024 - 05-01-2025</t>
  </si>
  <si>
    <t>06-01-2025 - 12-01-2025</t>
  </si>
  <si>
    <t>13-01-2025 - 19-01-2025</t>
  </si>
  <si>
    <t>20-01-2025 - 26-01-2025</t>
  </si>
  <si>
    <t>27-01-2025 - 02-02-2025</t>
  </si>
  <si>
    <t>03-02-2025 - 09-02-2025</t>
  </si>
  <si>
    <t>10-02-2025 - 16-02-2025</t>
  </si>
  <si>
    <t>17-02-2025 - 23-02-2025</t>
  </si>
  <si>
    <t>24-02-2025 - 02-03-2025</t>
  </si>
  <si>
    <t>03-03-2025 - 09-03-2025</t>
  </si>
  <si>
    <t>10-03-2025 - 16-03-2025</t>
  </si>
  <si>
    <t>17-03-2025 - 23-03-2025</t>
  </si>
  <si>
    <t>24-03-2025 - 30-03-2025</t>
  </si>
  <si>
    <t>31-03-2025 - 06-04-2025</t>
  </si>
  <si>
    <t>07-04-2025 - 13-04-2025</t>
  </si>
  <si>
    <t>14-04-2025 - 20-04-2025</t>
  </si>
  <si>
    <t>21-04-2025 - 27-04-2025</t>
  </si>
  <si>
    <t>28-04-2025 - 04-05-2025</t>
  </si>
  <si>
    <t>05-05-2025 - 11-05-2025</t>
  </si>
  <si>
    <t>12-05-2025 - 18-05-2025</t>
  </si>
  <si>
    <t>19-05-2025 - 25-05-2025</t>
  </si>
  <si>
    <t>26-05-2025 - 01-06-2025</t>
  </si>
  <si>
    <t>02-06-2025 - 08-06-2025</t>
  </si>
  <si>
    <t>09-06-2025 - 15-06-2025</t>
  </si>
  <si>
    <t>16-06-2025 - 22-06-2025</t>
  </si>
  <si>
    <t>23-06-2025 - 29-06-2025</t>
  </si>
  <si>
    <t>30-06-2025 - 06-07-2025</t>
  </si>
  <si>
    <t>07-07-2025 - 13-07-2025</t>
  </si>
  <si>
    <t>14-07-2025 - 20-07-2025</t>
  </si>
  <si>
    <t>21-07-2025 - 27-07-2025</t>
  </si>
  <si>
    <t>28-07-2025 - 03-08-2025</t>
  </si>
  <si>
    <t>04-08-2025 - 10-08-2025</t>
  </si>
  <si>
    <t>11-08-2025 - 17-08-2025</t>
  </si>
  <si>
    <t>18-08-2025 - 24-08-2025</t>
  </si>
  <si>
    <t>25-08-2025 - 31-08-2025</t>
  </si>
  <si>
    <t>01-09-2025 - 07-09-2025</t>
  </si>
  <si>
    <t>08-09-2025 - 09-09-2025</t>
  </si>
  <si>
    <t>Sum of Ad_Spend</t>
  </si>
  <si>
    <t>Count of Post ID</t>
  </si>
  <si>
    <t>Sum of Impressions</t>
  </si>
  <si>
    <t>Sum of Clicks</t>
  </si>
  <si>
    <t>Average of Impressions</t>
  </si>
  <si>
    <t>Average of Likes</t>
  </si>
  <si>
    <t>Before Campaign</t>
  </si>
  <si>
    <t>During Campaigh</t>
  </si>
  <si>
    <t>Engagement uplift</t>
  </si>
  <si>
    <t>Total engagement</t>
  </si>
  <si>
    <t>Roi(total engagement/ad spend)</t>
  </si>
  <si>
    <t>Follower groth</t>
  </si>
  <si>
    <t>Sum of Follower gain</t>
  </si>
  <si>
    <t>weeks</t>
  </si>
  <si>
    <t>Moving Avg</t>
  </si>
  <si>
    <t>Follower growth</t>
  </si>
  <si>
    <t>Corelation between Ad spend and Follower Growth</t>
  </si>
  <si>
    <t>Platform With Highest Engagement</t>
  </si>
  <si>
    <t>Weekly Follower growth Across platforms</t>
  </si>
  <si>
    <t>Ad spent vs Engagement</t>
  </si>
  <si>
    <t>Top Performing Hashtag</t>
  </si>
  <si>
    <t>ROI(engagement/adspend)</t>
  </si>
  <si>
    <t>Campaign with highest Roi</t>
  </si>
  <si>
    <t>week with highest follower gain</t>
  </si>
  <si>
    <t>spending much on ads didn’t help much</t>
  </si>
  <si>
    <t>Twitter- Story and Text</t>
  </si>
  <si>
    <t>Youtube-Reel and Text</t>
  </si>
  <si>
    <t xml:space="preserve">Total Likes,Shares,Comments by Content Type </t>
  </si>
  <si>
    <t>Avg Clicks per post by Hashtag</t>
  </si>
  <si>
    <t xml:space="preserve">Combinations I'd recommend </t>
  </si>
  <si>
    <t>Instagram -Story and Text</t>
  </si>
  <si>
    <t>Most frequent Hashtag</t>
  </si>
  <si>
    <t xml:space="preserve">Average engagement rate for each </t>
  </si>
  <si>
    <t>I'd recommend only focussing on Twitter as Twitter's weekly engagement is much more better than the other options but if we have to choose 2 Youtube comes second but its still kind of lagging behind so I'd recommend only focussing on Twitter</t>
  </si>
  <si>
    <t>Platform with the highest follower growth</t>
  </si>
  <si>
    <t>Vid explantion</t>
  </si>
  <si>
    <t>https://drive.google.com/file/d/1OIJYsCG_P0HA31tN8OX9AczIaxbQ-fzc/view?usp=sharing</t>
  </si>
  <si>
    <t>For task 4</t>
  </si>
  <si>
    <r>
      <rPr>
        <b/>
        <sz val="11"/>
        <color theme="1"/>
        <rFont val="Calibri"/>
        <family val="2"/>
        <scheme val="minor"/>
      </rPr>
      <t xml:space="preserve"> For task 3</t>
    </r>
    <r>
      <rPr>
        <sz val="11"/>
        <color theme="1"/>
        <rFont val="Calibri"/>
        <family val="2"/>
        <scheme val="minor"/>
      </rPr>
      <t xml:space="preserve"> I'd recommend only focussing on Twitter as Twitter's weekly engagement is much more better than the other options but if we have to choose 2 Youtube comes second but its still kind of lagging behind so I'd recommend only focussing on Twitter</t>
    </r>
  </si>
  <si>
    <r>
      <rPr>
        <b/>
        <sz val="11"/>
        <color theme="1"/>
        <rFont val="Calibri"/>
        <family val="2"/>
        <scheme val="minor"/>
      </rPr>
      <t>For task 1</t>
    </r>
    <r>
      <rPr>
        <sz val="11"/>
        <color theme="1"/>
        <rFont val="Calibri"/>
        <family val="2"/>
        <scheme val="minor"/>
      </rPr>
      <t xml:space="preserve"> I've spit the hashtags and did the nessesery formatting</t>
    </r>
  </si>
  <si>
    <t>For task 5</t>
  </si>
  <si>
    <t>For task 6</t>
  </si>
  <si>
    <t>I've got a correl of -0.016 which is closer to 0 which means spending more on adspend shouldn’t be a wise opinion</t>
  </si>
  <si>
    <t xml:space="preserve">I've made two new columns named Roi(engagement/adspend) and Follower growth(new followers-unfollows) in engagement summery and did all the nessesery work. </t>
  </si>
  <si>
    <t>*There's this Task 2 unsplit dataset(hidden) I've mostly used this for all the tasks and it's just the Post dataset with engagement rate column and unsplit hashtags</t>
  </si>
  <si>
    <r>
      <rPr>
        <b/>
        <sz val="11"/>
        <color theme="1"/>
        <rFont val="Calibri"/>
        <family val="2"/>
        <scheme val="minor"/>
      </rPr>
      <t>For task 2</t>
    </r>
    <r>
      <rPr>
        <sz val="11"/>
        <color theme="1"/>
        <rFont val="Calibri"/>
        <family val="2"/>
        <scheme val="minor"/>
      </rPr>
      <t xml:space="preserve"> I've calculated and added the engagement rate column and also I've already filtered out the top 10 posts based on engagement rate </t>
    </r>
  </si>
  <si>
    <t>Summery of my project</t>
  </si>
  <si>
    <t>Task 7</t>
  </si>
  <si>
    <t>*ROI is filterd for top 15 post</t>
  </si>
  <si>
    <t>*I've made all the original datasheets hidden where as their power query counterpart visible</t>
  </si>
  <si>
    <t>Here's the video explanation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</si>
</sst>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&quot;Aptos Narrow&quot;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FCE6C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9" fontId="5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165" fontId="3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14" fontId="0" fillId="0" borderId="0" xfId="0" applyNumberFormat="1"/>
    <xf numFmtId="1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9" fontId="0" fillId="0" borderId="0" xfId="0" applyNumberFormat="1"/>
    <xf numFmtId="9" fontId="0" fillId="2" borderId="0" xfId="0" applyNumberFormat="1" applyFill="1"/>
    <xf numFmtId="10" fontId="0" fillId="3" borderId="0" xfId="0" applyNumberFormat="1" applyFill="1"/>
    <xf numFmtId="0" fontId="6" fillId="4" borderId="2" xfId="0" applyFont="1" applyFill="1" applyBorder="1"/>
    <xf numFmtId="0" fontId="6" fillId="4" borderId="3" xfId="0" applyFont="1" applyFill="1" applyBorder="1"/>
    <xf numFmtId="0" fontId="6" fillId="4" borderId="4" xfId="0" applyFont="1" applyFill="1" applyBorder="1"/>
    <xf numFmtId="0" fontId="2" fillId="5" borderId="3" xfId="0" applyFont="1" applyFill="1" applyBorder="1"/>
    <xf numFmtId="0" fontId="2" fillId="5" borderId="4" xfId="0" applyFont="1" applyFill="1" applyBorder="1"/>
    <xf numFmtId="0" fontId="2" fillId="0" borderId="0" xfId="0" applyFont="1"/>
    <xf numFmtId="10" fontId="8" fillId="6" borderId="0" xfId="0" applyNumberFormat="1" applyFont="1" applyFill="1"/>
    <xf numFmtId="10" fontId="9" fillId="0" borderId="0" xfId="0" applyNumberFormat="1" applyFont="1"/>
    <xf numFmtId="0" fontId="9" fillId="0" borderId="0" xfId="0" applyFont="1"/>
    <xf numFmtId="10" fontId="10" fillId="0" borderId="0" xfId="0" applyNumberFormat="1" applyFont="1"/>
    <xf numFmtId="0" fontId="10" fillId="0" borderId="0" xfId="0" applyFont="1"/>
    <xf numFmtId="14" fontId="2" fillId="5" borderId="2" xfId="0" applyNumberFormat="1" applyFont="1" applyFill="1" applyBorder="1"/>
    <xf numFmtId="9" fontId="2" fillId="5" borderId="3" xfId="1" applyFont="1" applyFill="1" applyBorder="1"/>
    <xf numFmtId="0" fontId="2" fillId="5" borderId="3" xfId="1" applyNumberFormat="1" applyFont="1" applyFill="1" applyBorder="1"/>
    <xf numFmtId="0" fontId="0" fillId="7" borderId="0" xfId="0" applyFill="1" applyAlignment="1">
      <alignment horizontal="left"/>
    </xf>
    <xf numFmtId="0" fontId="0" fillId="7" borderId="0" xfId="0" applyFill="1"/>
    <xf numFmtId="0" fontId="0" fillId="0" borderId="0" xfId="0" applyNumberFormat="1"/>
    <xf numFmtId="0" fontId="11" fillId="0" borderId="0" xfId="0" applyFont="1"/>
    <xf numFmtId="0" fontId="1" fillId="0" borderId="0" xfId="0" applyFont="1"/>
    <xf numFmtId="0" fontId="1" fillId="5" borderId="2" xfId="0" applyFont="1" applyFill="1" applyBorder="1"/>
    <xf numFmtId="0" fontId="0" fillId="8" borderId="0" xfId="0" applyNumberFormat="1" applyFill="1"/>
    <xf numFmtId="9" fontId="0" fillId="0" borderId="0" xfId="1" applyFont="1"/>
    <xf numFmtId="0" fontId="11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9" borderId="0" xfId="0" applyFill="1" applyAlignment="1">
      <alignment horizontal="left"/>
    </xf>
    <xf numFmtId="0" fontId="13" fillId="0" borderId="0" xfId="0" applyFont="1"/>
    <xf numFmtId="0" fontId="12" fillId="0" borderId="0" xfId="2"/>
    <xf numFmtId="0" fontId="1" fillId="0" borderId="0" xfId="0" applyFont="1"/>
  </cellXfs>
  <cellStyles count="3">
    <cellStyle name="Hyperlink" xfId="2" builtinId="8"/>
    <cellStyle name="Normal" xfId="0" builtinId="0"/>
    <cellStyle name="Percent" xfId="1" builtinId="5"/>
  </cellStyles>
  <dxfs count="73">
    <dxf>
      <numFmt numFmtId="14" formatCode="0.00%"/>
    </dxf>
    <dxf>
      <numFmt numFmtId="14" formatCode="0.00%"/>
    </dxf>
    <dxf>
      <fill>
        <patternFill>
          <bgColor theme="7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CE6C8"/>
        </patternFill>
      </fill>
    </dxf>
    <dxf>
      <font>
        <strike val="0"/>
        <outline val="0"/>
        <shadow val="0"/>
        <u val="none"/>
        <vertAlign val="baseline"/>
        <sz val="11"/>
        <color theme="0" tint="-0.499984740745262"/>
        <name val="Calibri"/>
        <scheme val="minor"/>
      </font>
      <numFmt numFmtId="14" formatCode="0.00%"/>
    </dxf>
    <dxf>
      <font>
        <strike val="0"/>
        <outline val="0"/>
        <shadow val="0"/>
        <u val="none"/>
        <vertAlign val="baseline"/>
        <sz val="11"/>
        <color theme="7" tint="-0.249977111117893"/>
        <name val="Calibri"/>
        <scheme val="minor"/>
      </font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9" formatCode="dd/mm/yyyy"/>
    </dxf>
    <dxf>
      <numFmt numFmtId="13" formatCode="0%"/>
    </dxf>
    <dxf>
      <fill>
        <patternFill patternType="solid">
          <bgColor rgb="FF92D050"/>
        </patternFill>
      </fill>
    </dxf>
    <dxf>
      <fill>
        <patternFill>
          <bgColor rgb="FF00B05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font>
        <strike val="0"/>
        <outline val="0"/>
        <shadow val="0"/>
        <u val="none"/>
        <vertAlign val="baseline"/>
        <sz val="11"/>
        <color theme="4" tint="-0.249977111117893"/>
        <name val="Calibri"/>
        <family val="2"/>
        <scheme val="minor"/>
      </font>
      <numFmt numFmtId="14" formatCode="0.00%"/>
      <fill>
        <patternFill patternType="solid">
          <fgColor indexed="64"/>
          <bgColor theme="2"/>
        </patternFill>
      </fill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  <fill>
        <patternFill patternType="solid">
          <fgColor indexed="64"/>
          <bgColor rgb="FFFFFFCC"/>
        </patternFill>
      </fill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CE6C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1/relationships/timelineCache" Target="timelineCaches/timelineCache1.xml"/><Relationship Id="rId39" Type="http://schemas.openxmlformats.org/officeDocument/2006/relationships/customXml" Target="../customXml/item7.xml"/><Relationship Id="rId21" Type="http://schemas.openxmlformats.org/officeDocument/2006/relationships/pivotCacheDefinition" Target="pivotCache/pivotCacheDefinition1.xml"/><Relationship Id="rId34" Type="http://schemas.openxmlformats.org/officeDocument/2006/relationships/customXml" Target="../customXml/item2.xml"/><Relationship Id="rId42" Type="http://schemas.openxmlformats.org/officeDocument/2006/relationships/customXml" Target="../customXml/item10.xml"/><Relationship Id="rId47" Type="http://schemas.openxmlformats.org/officeDocument/2006/relationships/customXml" Target="../customXml/item15.xml"/><Relationship Id="rId50" Type="http://schemas.openxmlformats.org/officeDocument/2006/relationships/customXml" Target="../customXml/item18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styles" Target="styles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4.xml"/><Relationship Id="rId32" Type="http://schemas.openxmlformats.org/officeDocument/2006/relationships/calcChain" Target="calcChain.xml"/><Relationship Id="rId37" Type="http://schemas.openxmlformats.org/officeDocument/2006/relationships/customXml" Target="../customXml/item5.xml"/><Relationship Id="rId40" Type="http://schemas.openxmlformats.org/officeDocument/2006/relationships/customXml" Target="../customXml/item8.xml"/><Relationship Id="rId45" Type="http://schemas.openxmlformats.org/officeDocument/2006/relationships/customXml" Target="../customXml/item13.xml"/><Relationship Id="rId53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owerPivotData" Target="model/item.data"/><Relationship Id="rId44" Type="http://schemas.openxmlformats.org/officeDocument/2006/relationships/customXml" Target="../customXml/item12.xml"/><Relationship Id="rId52" Type="http://schemas.openxmlformats.org/officeDocument/2006/relationships/customXml" Target="../customXml/item2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Relationship Id="rId35" Type="http://schemas.openxmlformats.org/officeDocument/2006/relationships/customXml" Target="../customXml/item3.xml"/><Relationship Id="rId43" Type="http://schemas.openxmlformats.org/officeDocument/2006/relationships/customXml" Target="../customXml/item11.xml"/><Relationship Id="rId48" Type="http://schemas.openxmlformats.org/officeDocument/2006/relationships/customXml" Target="../customXml/item16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5.xml"/><Relationship Id="rId33" Type="http://schemas.openxmlformats.org/officeDocument/2006/relationships/customXml" Target="../customXml/item1.xml"/><Relationship Id="rId38" Type="http://schemas.openxmlformats.org/officeDocument/2006/relationships/customXml" Target="../customXml/item6.xml"/><Relationship Id="rId46" Type="http://schemas.openxmlformats.org/officeDocument/2006/relationships/customXml" Target="../customXml/item14.xml"/><Relationship Id="rId20" Type="http://schemas.openxmlformats.org/officeDocument/2006/relationships/worksheet" Target="worksheets/sheet20.xml"/><Relationship Id="rId41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3.xml"/><Relationship Id="rId28" Type="http://schemas.openxmlformats.org/officeDocument/2006/relationships/connections" Target="connections.xml"/><Relationship Id="rId36" Type="http://schemas.openxmlformats.org/officeDocument/2006/relationships/customXml" Target="../customXml/item4.xml"/><Relationship Id="rId49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[Srijan_Roy_Aug15_spotify_project.xlsx]Task 3!PivotTable12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3'!$K$19</c:f>
              <c:strCache>
                <c:ptCount val="1"/>
                <c:pt idx="0">
                  <c:v>Sum of Ad_Spend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3'!$J$20:$J$23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'Task 3'!$K$20:$K$23</c:f>
              <c:numCache>
                <c:formatCode>General</c:formatCode>
                <c:ptCount val="3"/>
                <c:pt idx="0">
                  <c:v>1035942</c:v>
                </c:pt>
                <c:pt idx="1">
                  <c:v>1114204</c:v>
                </c:pt>
                <c:pt idx="2">
                  <c:v>1065782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D7-49F7-847E-BD42EE0B7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35256944"/>
        <c:axId val="1035255984"/>
      </c:barChart>
      <c:lineChart>
        <c:grouping val="standard"/>
        <c:varyColors val="0"/>
        <c:ser>
          <c:idx val="1"/>
          <c:order val="1"/>
          <c:tx>
            <c:strRef>
              <c:f>'Task 3'!$L$19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3'!$J$20:$J$23</c:f>
              <c:strCache>
                <c:ptCount val="3"/>
                <c:pt idx="0">
                  <c:v>Instagram</c:v>
                </c:pt>
                <c:pt idx="1">
                  <c:v>Twitter</c:v>
                </c:pt>
                <c:pt idx="2">
                  <c:v>YouTube</c:v>
                </c:pt>
              </c:strCache>
            </c:strRef>
          </c:cat>
          <c:val>
            <c:numRef>
              <c:f>'Task 3'!$L$20:$L$23</c:f>
              <c:numCache>
                <c:formatCode>0.00%</c:formatCode>
                <c:ptCount val="3"/>
                <c:pt idx="0">
                  <c:v>6.4582089552238831</c:v>
                </c:pt>
                <c:pt idx="1">
                  <c:v>6.8856716417910446</c:v>
                </c:pt>
                <c:pt idx="2">
                  <c:v>6.7189393939393929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D7-49F7-847E-BD42EE0B7F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5838128"/>
        <c:axId val="615837168"/>
      </c:lineChart>
      <c:catAx>
        <c:axId val="103525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55984"/>
        <c:crosses val="autoZero"/>
        <c:auto val="1"/>
        <c:lblAlgn val="ctr"/>
        <c:lblOffset val="100"/>
        <c:noMultiLvlLbl val="0"/>
      </c:catAx>
      <c:valAx>
        <c:axId val="103525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256944"/>
        <c:crosses val="autoZero"/>
        <c:crossBetween val="between"/>
      </c:valAx>
      <c:valAx>
        <c:axId val="615837168"/>
        <c:scaling>
          <c:orientation val="minMax"/>
        </c:scaling>
        <c:delete val="0"/>
        <c:axPos val="r"/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838128"/>
        <c:crosses val="max"/>
        <c:crossBetween val="between"/>
      </c:valAx>
      <c:catAx>
        <c:axId val="615838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1583716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[Srijan_Roy_Aug15_spotify_project.xlsx]Task 3!PivotTable10</c:name>
    <c:fmtId val="2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158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lumMod val="110000"/>
                  <a:satMod val="105000"/>
                  <a:tint val="67000"/>
                </a:schemeClr>
              </a:gs>
              <a:gs pos="50000">
                <a:schemeClr val="accent1">
                  <a:lumMod val="105000"/>
                  <a:satMod val="103000"/>
                  <a:tint val="73000"/>
                </a:schemeClr>
              </a:gs>
              <a:gs pos="100000">
                <a:schemeClr val="accent1"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accent1">
                <a:shade val="95000"/>
              </a:schemeClr>
            </a:solidFill>
            <a:round/>
          </a:ln>
          <a:effectLst/>
        </c:spPr>
        <c:marker>
          <c:symbol val="circle"/>
          <c:size val="5"/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2"/>
          <c:order val="2"/>
          <c:tx>
            <c:strRef>
              <c:f>'Task 3'!$D$12:$D$13</c:f>
              <c:strCache>
                <c:ptCount val="1"/>
                <c:pt idx="0">
                  <c:v>YouTube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110000"/>
                    <a:satMod val="105000"/>
                    <a:tint val="67000"/>
                  </a:schemeClr>
                </a:gs>
                <a:gs pos="50000">
                  <a:schemeClr val="accent3">
                    <a:lumMod val="105000"/>
                    <a:satMod val="103000"/>
                    <a:tint val="73000"/>
                  </a:schemeClr>
                </a:gs>
                <a:gs pos="100000">
                  <a:schemeClr val="accent3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3">
                  <a:shade val="95000"/>
                </a:schemeClr>
              </a:solidFill>
              <a:round/>
            </a:ln>
            <a:effectLst/>
          </c:spPr>
          <c:cat>
            <c:strRef>
              <c:f>'Task 3'!$A$14:$A$32</c:f>
              <c:strCache>
                <c:ptCount val="18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</c:strCache>
            </c:strRef>
          </c:cat>
          <c:val>
            <c:numRef>
              <c:f>'Task 3'!$D$14:$D$32</c:f>
              <c:numCache>
                <c:formatCode>General</c:formatCode>
                <c:ptCount val="18"/>
                <c:pt idx="0">
                  <c:v>1472</c:v>
                </c:pt>
                <c:pt idx="1">
                  <c:v>545</c:v>
                </c:pt>
                <c:pt idx="2">
                  <c:v>1472</c:v>
                </c:pt>
                <c:pt idx="3">
                  <c:v>844</c:v>
                </c:pt>
                <c:pt idx="4">
                  <c:v>1218</c:v>
                </c:pt>
                <c:pt idx="5">
                  <c:v>1253</c:v>
                </c:pt>
                <c:pt idx="6">
                  <c:v>981</c:v>
                </c:pt>
                <c:pt idx="7">
                  <c:v>1241</c:v>
                </c:pt>
                <c:pt idx="8">
                  <c:v>983</c:v>
                </c:pt>
                <c:pt idx="9">
                  <c:v>937</c:v>
                </c:pt>
                <c:pt idx="10">
                  <c:v>1109</c:v>
                </c:pt>
                <c:pt idx="11">
                  <c:v>1240</c:v>
                </c:pt>
                <c:pt idx="12">
                  <c:v>1456</c:v>
                </c:pt>
                <c:pt idx="13">
                  <c:v>1096</c:v>
                </c:pt>
                <c:pt idx="14">
                  <c:v>854</c:v>
                </c:pt>
                <c:pt idx="15">
                  <c:v>685</c:v>
                </c:pt>
                <c:pt idx="16">
                  <c:v>769</c:v>
                </c:pt>
                <c:pt idx="17">
                  <c:v>1421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8F-4B7B-A1AE-99406C44A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729808"/>
        <c:axId val="1928727888"/>
      </c:areaChart>
      <c:barChart>
        <c:barDir val="col"/>
        <c:grouping val="clustered"/>
        <c:varyColors val="0"/>
        <c:ser>
          <c:idx val="0"/>
          <c:order val="0"/>
          <c:tx>
            <c:strRef>
              <c:f>'Task 3'!$B$12:$B$13</c:f>
              <c:strCache>
                <c:ptCount val="1"/>
                <c:pt idx="0">
                  <c:v>Instagram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cat>
            <c:strRef>
              <c:f>'Task 3'!$A$14:$A$32</c:f>
              <c:strCache>
                <c:ptCount val="18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</c:strCache>
            </c:strRef>
          </c:cat>
          <c:val>
            <c:numRef>
              <c:f>'Task 3'!$B$14:$B$32</c:f>
              <c:numCache>
                <c:formatCode>General</c:formatCode>
                <c:ptCount val="18"/>
                <c:pt idx="0">
                  <c:v>1402</c:v>
                </c:pt>
                <c:pt idx="1">
                  <c:v>1018</c:v>
                </c:pt>
                <c:pt idx="2">
                  <c:v>881</c:v>
                </c:pt>
                <c:pt idx="3">
                  <c:v>809</c:v>
                </c:pt>
                <c:pt idx="4">
                  <c:v>786</c:v>
                </c:pt>
                <c:pt idx="5">
                  <c:v>797</c:v>
                </c:pt>
                <c:pt idx="6">
                  <c:v>616</c:v>
                </c:pt>
                <c:pt idx="7">
                  <c:v>866</c:v>
                </c:pt>
                <c:pt idx="8">
                  <c:v>973</c:v>
                </c:pt>
                <c:pt idx="9">
                  <c:v>1449</c:v>
                </c:pt>
                <c:pt idx="10">
                  <c:v>1060</c:v>
                </c:pt>
                <c:pt idx="11">
                  <c:v>1002</c:v>
                </c:pt>
                <c:pt idx="12">
                  <c:v>1154</c:v>
                </c:pt>
                <c:pt idx="13">
                  <c:v>721</c:v>
                </c:pt>
                <c:pt idx="14">
                  <c:v>912</c:v>
                </c:pt>
                <c:pt idx="15">
                  <c:v>681</c:v>
                </c:pt>
                <c:pt idx="16">
                  <c:v>1290</c:v>
                </c:pt>
                <c:pt idx="17">
                  <c:v>1416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8F-4B7B-A1AE-99406C44A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28729808"/>
        <c:axId val="1928727888"/>
      </c:barChart>
      <c:lineChart>
        <c:grouping val="standard"/>
        <c:varyColors val="0"/>
        <c:ser>
          <c:idx val="1"/>
          <c:order val="1"/>
          <c:tx>
            <c:strRef>
              <c:f>'Task 3'!$C$12:$C$13</c:f>
              <c:strCache>
                <c:ptCount val="1"/>
                <c:pt idx="0">
                  <c:v>Twitter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marker>
          <c:cat>
            <c:strRef>
              <c:f>'Task 3'!$A$14:$A$32</c:f>
              <c:strCache>
                <c:ptCount val="18"/>
                <c:pt idx="0">
                  <c:v>03-06-2024 - 09-06-2024</c:v>
                </c:pt>
                <c:pt idx="1">
                  <c:v>10-06-2024 - 16-06-2024</c:v>
                </c:pt>
                <c:pt idx="2">
                  <c:v>17-06-2024 - 23-06-2024</c:v>
                </c:pt>
                <c:pt idx="3">
                  <c:v>24-06-2024 - 30-06-2024</c:v>
                </c:pt>
                <c:pt idx="4">
                  <c:v>01-07-2024 - 07-07-2024</c:v>
                </c:pt>
                <c:pt idx="5">
                  <c:v>08-07-2024 - 14-07-2024</c:v>
                </c:pt>
                <c:pt idx="6">
                  <c:v>15-07-2024 - 21-07-2024</c:v>
                </c:pt>
                <c:pt idx="7">
                  <c:v>22-07-2024 - 28-07-2024</c:v>
                </c:pt>
                <c:pt idx="8">
                  <c:v>29-07-2024 - 04-08-2024</c:v>
                </c:pt>
                <c:pt idx="9">
                  <c:v>05-08-2024 - 11-08-2024</c:v>
                </c:pt>
                <c:pt idx="10">
                  <c:v>12-08-2024 - 18-08-2024</c:v>
                </c:pt>
                <c:pt idx="11">
                  <c:v>19-08-2024 - 25-08-2024</c:v>
                </c:pt>
                <c:pt idx="12">
                  <c:v>26-08-2024 - 01-09-2024</c:v>
                </c:pt>
                <c:pt idx="13">
                  <c:v>02-09-2024 - 08-09-2024</c:v>
                </c:pt>
                <c:pt idx="14">
                  <c:v>09-09-2024 - 15-09-2024</c:v>
                </c:pt>
                <c:pt idx="15">
                  <c:v>16-09-2024 - 22-09-2024</c:v>
                </c:pt>
                <c:pt idx="16">
                  <c:v>23-09-2024 - 29-09-2024</c:v>
                </c:pt>
                <c:pt idx="17">
                  <c:v>30-09-2024 - 06-10-2024</c:v>
                </c:pt>
              </c:strCache>
            </c:strRef>
          </c:cat>
          <c:val>
            <c:numRef>
              <c:f>'Task 3'!$C$14:$C$32</c:f>
              <c:numCache>
                <c:formatCode>General</c:formatCode>
                <c:ptCount val="18"/>
                <c:pt idx="0">
                  <c:v>995</c:v>
                </c:pt>
                <c:pt idx="1">
                  <c:v>1461</c:v>
                </c:pt>
                <c:pt idx="2">
                  <c:v>1414</c:v>
                </c:pt>
                <c:pt idx="3">
                  <c:v>1371</c:v>
                </c:pt>
                <c:pt idx="4">
                  <c:v>845</c:v>
                </c:pt>
                <c:pt idx="5">
                  <c:v>1471</c:v>
                </c:pt>
                <c:pt idx="6">
                  <c:v>1308</c:v>
                </c:pt>
                <c:pt idx="7">
                  <c:v>547</c:v>
                </c:pt>
                <c:pt idx="8">
                  <c:v>611</c:v>
                </c:pt>
                <c:pt idx="9">
                  <c:v>752</c:v>
                </c:pt>
                <c:pt idx="10">
                  <c:v>1456</c:v>
                </c:pt>
                <c:pt idx="11">
                  <c:v>571</c:v>
                </c:pt>
                <c:pt idx="12">
                  <c:v>537</c:v>
                </c:pt>
                <c:pt idx="13">
                  <c:v>1098</c:v>
                </c:pt>
                <c:pt idx="14">
                  <c:v>1430</c:v>
                </c:pt>
                <c:pt idx="15">
                  <c:v>1373</c:v>
                </c:pt>
                <c:pt idx="16">
                  <c:v>1437</c:v>
                </c:pt>
                <c:pt idx="17">
                  <c:v>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F-4B7B-A1AE-99406C44A5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8729808"/>
        <c:axId val="1928727888"/>
      </c:lineChart>
      <c:catAx>
        <c:axId val="192872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27888"/>
        <c:crosses val="autoZero"/>
        <c:auto val="1"/>
        <c:lblAlgn val="ctr"/>
        <c:lblOffset val="100"/>
        <c:noMultiLvlLbl val="0"/>
      </c:catAx>
      <c:valAx>
        <c:axId val="192872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8729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MOVING</a:t>
            </a:r>
            <a:r>
              <a:rPr lang="en-IN" baseline="0"/>
              <a:t> AVERAGE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 Task 6 moving Avg'!$C$1</c:f>
              <c:strCache>
                <c:ptCount val="1"/>
                <c:pt idx="0">
                  <c:v>New_Followers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 Task 6 moving Avg'!$A$2:$B$201</c:f>
              <c:multiLvlStrCache>
                <c:ptCount val="30"/>
                <c:lvl>
                  <c:pt idx="0">
                    <c:v>Instagram</c:v>
                  </c:pt>
                  <c:pt idx="1">
                    <c:v>YouTube</c:v>
                  </c:pt>
                  <c:pt idx="2">
                    <c:v>Twitter</c:v>
                  </c:pt>
                  <c:pt idx="3">
                    <c:v>Twitter</c:v>
                  </c:pt>
                  <c:pt idx="4">
                    <c:v>YouTube</c:v>
                  </c:pt>
                  <c:pt idx="5">
                    <c:v>Twitter</c:v>
                  </c:pt>
                  <c:pt idx="6">
                    <c:v>Instagram</c:v>
                  </c:pt>
                  <c:pt idx="7">
                    <c:v>Twitter</c:v>
                  </c:pt>
                  <c:pt idx="8">
                    <c:v>YouTube</c:v>
                  </c:pt>
                  <c:pt idx="9">
                    <c:v>Twitter</c:v>
                  </c:pt>
                  <c:pt idx="10">
                    <c:v>Twitter</c:v>
                  </c:pt>
                  <c:pt idx="11">
                    <c:v>Instagram</c:v>
                  </c:pt>
                  <c:pt idx="12">
                    <c:v>YouTube</c:v>
                  </c:pt>
                  <c:pt idx="13">
                    <c:v>YouTube</c:v>
                  </c:pt>
                  <c:pt idx="14">
                    <c:v>Instagram</c:v>
                  </c:pt>
                  <c:pt idx="15">
                    <c:v>Instagram</c:v>
                  </c:pt>
                  <c:pt idx="16">
                    <c:v>Twitter</c:v>
                  </c:pt>
                  <c:pt idx="17">
                    <c:v>Twitter</c:v>
                  </c:pt>
                  <c:pt idx="18">
                    <c:v>Twitter</c:v>
                  </c:pt>
                  <c:pt idx="19">
                    <c:v>Instagram</c:v>
                  </c:pt>
                  <c:pt idx="20">
                    <c:v>YouTube</c:v>
                  </c:pt>
                  <c:pt idx="21">
                    <c:v>Instagram</c:v>
                  </c:pt>
                  <c:pt idx="22">
                    <c:v>Twitter</c:v>
                  </c:pt>
                  <c:pt idx="23">
                    <c:v>YouTube</c:v>
                  </c:pt>
                  <c:pt idx="24">
                    <c:v>Twitter</c:v>
                  </c:pt>
                  <c:pt idx="25">
                    <c:v>Twitter</c:v>
                  </c:pt>
                  <c:pt idx="26">
                    <c:v>Instagram</c:v>
                  </c:pt>
                  <c:pt idx="27">
                    <c:v>Twitter</c:v>
                  </c:pt>
                  <c:pt idx="28">
                    <c:v>YouTube</c:v>
                  </c:pt>
                  <c:pt idx="29">
                    <c:v>Twitter</c:v>
                  </c:pt>
                </c:lvl>
                <c:lvl>
                  <c:pt idx="0">
                    <c:v>03-06-2024</c:v>
                  </c:pt>
                  <c:pt idx="1">
                    <c:v>03-06-2024</c:v>
                  </c:pt>
                  <c:pt idx="2">
                    <c:v>10-06-2024</c:v>
                  </c:pt>
                  <c:pt idx="3">
                    <c:v>17-06-2024</c:v>
                  </c:pt>
                  <c:pt idx="4">
                    <c:v>17-06-2024</c:v>
                  </c:pt>
                  <c:pt idx="5">
                    <c:v>08-07-2024</c:v>
                  </c:pt>
                  <c:pt idx="6">
                    <c:v>05-08-2024</c:v>
                  </c:pt>
                  <c:pt idx="7">
                    <c:v>12-08-2024</c:v>
                  </c:pt>
                  <c:pt idx="8">
                    <c:v>26-08-2024</c:v>
                  </c:pt>
                  <c:pt idx="9">
                    <c:v>09-09-2024</c:v>
                  </c:pt>
                  <c:pt idx="10">
                    <c:v>23-09-2024</c:v>
                  </c:pt>
                  <c:pt idx="11">
                    <c:v>30-09-2024</c:v>
                  </c:pt>
                  <c:pt idx="12">
                    <c:v>30-09-2024</c:v>
                  </c:pt>
                  <c:pt idx="13">
                    <c:v>14-10-2024</c:v>
                  </c:pt>
                  <c:pt idx="14">
                    <c:v>28-10-2024</c:v>
                  </c:pt>
                  <c:pt idx="15">
                    <c:v>04-11-2024</c:v>
                  </c:pt>
                  <c:pt idx="16">
                    <c:v>04-11-2024</c:v>
                  </c:pt>
                  <c:pt idx="17">
                    <c:v>30-12-2024</c:v>
                  </c:pt>
                  <c:pt idx="18">
                    <c:v>13-01-2025</c:v>
                  </c:pt>
                  <c:pt idx="19">
                    <c:v>03-03-2025</c:v>
                  </c:pt>
                  <c:pt idx="20">
                    <c:v>31-03-2025</c:v>
                  </c:pt>
                  <c:pt idx="21">
                    <c:v>07-04-2025</c:v>
                  </c:pt>
                  <c:pt idx="22">
                    <c:v>14-04-2025</c:v>
                  </c:pt>
                  <c:pt idx="23">
                    <c:v>14-04-2025</c:v>
                  </c:pt>
                  <c:pt idx="24">
                    <c:v>19-05-2025</c:v>
                  </c:pt>
                  <c:pt idx="25">
                    <c:v>02-06-2025</c:v>
                  </c:pt>
                  <c:pt idx="26">
                    <c:v>14-07-2025</c:v>
                  </c:pt>
                  <c:pt idx="27">
                    <c:v>28-07-2025</c:v>
                  </c:pt>
                  <c:pt idx="28">
                    <c:v>28-07-2025</c:v>
                  </c:pt>
                  <c:pt idx="29">
                    <c:v>25-08-2025</c:v>
                  </c:pt>
                </c:lvl>
              </c:multiLvlStrCache>
            </c:multiLvlStrRef>
          </c:cat>
          <c:val>
            <c:numRef>
              <c:f>' Task 6 moving Avg'!$C$2:$C$201</c:f>
              <c:numCache>
                <c:formatCode>General</c:formatCode>
                <c:ptCount val="30"/>
                <c:pt idx="0">
                  <c:v>1402</c:v>
                </c:pt>
                <c:pt idx="1">
                  <c:v>1472</c:v>
                </c:pt>
                <c:pt idx="2">
                  <c:v>1461</c:v>
                </c:pt>
                <c:pt idx="3">
                  <c:v>1414</c:v>
                </c:pt>
                <c:pt idx="4">
                  <c:v>1472</c:v>
                </c:pt>
                <c:pt idx="5">
                  <c:v>1471</c:v>
                </c:pt>
                <c:pt idx="6">
                  <c:v>1449</c:v>
                </c:pt>
                <c:pt idx="7">
                  <c:v>1456</c:v>
                </c:pt>
                <c:pt idx="8">
                  <c:v>1456</c:v>
                </c:pt>
                <c:pt idx="9">
                  <c:v>1430</c:v>
                </c:pt>
                <c:pt idx="10">
                  <c:v>1437</c:v>
                </c:pt>
                <c:pt idx="11">
                  <c:v>1416</c:v>
                </c:pt>
                <c:pt idx="12">
                  <c:v>1421</c:v>
                </c:pt>
                <c:pt idx="13">
                  <c:v>1457</c:v>
                </c:pt>
                <c:pt idx="14">
                  <c:v>1435</c:v>
                </c:pt>
                <c:pt idx="15">
                  <c:v>1437</c:v>
                </c:pt>
                <c:pt idx="16">
                  <c:v>1463</c:v>
                </c:pt>
                <c:pt idx="17">
                  <c:v>1490</c:v>
                </c:pt>
                <c:pt idx="18">
                  <c:v>1414</c:v>
                </c:pt>
                <c:pt idx="19">
                  <c:v>1444</c:v>
                </c:pt>
                <c:pt idx="20">
                  <c:v>1425</c:v>
                </c:pt>
                <c:pt idx="21">
                  <c:v>1417</c:v>
                </c:pt>
                <c:pt idx="22">
                  <c:v>1472</c:v>
                </c:pt>
                <c:pt idx="23">
                  <c:v>1472</c:v>
                </c:pt>
                <c:pt idx="24">
                  <c:v>1430</c:v>
                </c:pt>
                <c:pt idx="25">
                  <c:v>1419</c:v>
                </c:pt>
                <c:pt idx="26">
                  <c:v>1457</c:v>
                </c:pt>
                <c:pt idx="27">
                  <c:v>1425</c:v>
                </c:pt>
                <c:pt idx="28">
                  <c:v>1490</c:v>
                </c:pt>
                <c:pt idx="29">
                  <c:v>1413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01-474D-BABD-B434E93BC44D}"/>
            </c:ext>
          </c:extLst>
        </c:ser>
        <c:ser>
          <c:idx val="1"/>
          <c:order val="1"/>
          <c:tx>
            <c:strRef>
              <c:f>' Task 6 moving Avg'!$D$1</c:f>
              <c:strCache>
                <c:ptCount val="1"/>
                <c:pt idx="0">
                  <c:v>Unfollows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 Task 6 moving Avg'!$A$2:$B$201</c:f>
              <c:multiLvlStrCache>
                <c:ptCount val="30"/>
                <c:lvl>
                  <c:pt idx="0">
                    <c:v>Instagram</c:v>
                  </c:pt>
                  <c:pt idx="1">
                    <c:v>YouTube</c:v>
                  </c:pt>
                  <c:pt idx="2">
                    <c:v>Twitter</c:v>
                  </c:pt>
                  <c:pt idx="3">
                    <c:v>Twitter</c:v>
                  </c:pt>
                  <c:pt idx="4">
                    <c:v>YouTube</c:v>
                  </c:pt>
                  <c:pt idx="5">
                    <c:v>Twitter</c:v>
                  </c:pt>
                  <c:pt idx="6">
                    <c:v>Instagram</c:v>
                  </c:pt>
                  <c:pt idx="7">
                    <c:v>Twitter</c:v>
                  </c:pt>
                  <c:pt idx="8">
                    <c:v>YouTube</c:v>
                  </c:pt>
                  <c:pt idx="9">
                    <c:v>Twitter</c:v>
                  </c:pt>
                  <c:pt idx="10">
                    <c:v>Twitter</c:v>
                  </c:pt>
                  <c:pt idx="11">
                    <c:v>Instagram</c:v>
                  </c:pt>
                  <c:pt idx="12">
                    <c:v>YouTube</c:v>
                  </c:pt>
                  <c:pt idx="13">
                    <c:v>YouTube</c:v>
                  </c:pt>
                  <c:pt idx="14">
                    <c:v>Instagram</c:v>
                  </c:pt>
                  <c:pt idx="15">
                    <c:v>Instagram</c:v>
                  </c:pt>
                  <c:pt idx="16">
                    <c:v>Twitter</c:v>
                  </c:pt>
                  <c:pt idx="17">
                    <c:v>Twitter</c:v>
                  </c:pt>
                  <c:pt idx="18">
                    <c:v>Twitter</c:v>
                  </c:pt>
                  <c:pt idx="19">
                    <c:v>Instagram</c:v>
                  </c:pt>
                  <c:pt idx="20">
                    <c:v>YouTube</c:v>
                  </c:pt>
                  <c:pt idx="21">
                    <c:v>Instagram</c:v>
                  </c:pt>
                  <c:pt idx="22">
                    <c:v>Twitter</c:v>
                  </c:pt>
                  <c:pt idx="23">
                    <c:v>YouTube</c:v>
                  </c:pt>
                  <c:pt idx="24">
                    <c:v>Twitter</c:v>
                  </c:pt>
                  <c:pt idx="25">
                    <c:v>Twitter</c:v>
                  </c:pt>
                  <c:pt idx="26">
                    <c:v>Instagram</c:v>
                  </c:pt>
                  <c:pt idx="27">
                    <c:v>Twitter</c:v>
                  </c:pt>
                  <c:pt idx="28">
                    <c:v>YouTube</c:v>
                  </c:pt>
                  <c:pt idx="29">
                    <c:v>Twitter</c:v>
                  </c:pt>
                </c:lvl>
                <c:lvl>
                  <c:pt idx="0">
                    <c:v>03-06-2024</c:v>
                  </c:pt>
                  <c:pt idx="1">
                    <c:v>03-06-2024</c:v>
                  </c:pt>
                  <c:pt idx="2">
                    <c:v>10-06-2024</c:v>
                  </c:pt>
                  <c:pt idx="3">
                    <c:v>17-06-2024</c:v>
                  </c:pt>
                  <c:pt idx="4">
                    <c:v>17-06-2024</c:v>
                  </c:pt>
                  <c:pt idx="5">
                    <c:v>08-07-2024</c:v>
                  </c:pt>
                  <c:pt idx="6">
                    <c:v>05-08-2024</c:v>
                  </c:pt>
                  <c:pt idx="7">
                    <c:v>12-08-2024</c:v>
                  </c:pt>
                  <c:pt idx="8">
                    <c:v>26-08-2024</c:v>
                  </c:pt>
                  <c:pt idx="9">
                    <c:v>09-09-2024</c:v>
                  </c:pt>
                  <c:pt idx="10">
                    <c:v>23-09-2024</c:v>
                  </c:pt>
                  <c:pt idx="11">
                    <c:v>30-09-2024</c:v>
                  </c:pt>
                  <c:pt idx="12">
                    <c:v>30-09-2024</c:v>
                  </c:pt>
                  <c:pt idx="13">
                    <c:v>14-10-2024</c:v>
                  </c:pt>
                  <c:pt idx="14">
                    <c:v>28-10-2024</c:v>
                  </c:pt>
                  <c:pt idx="15">
                    <c:v>04-11-2024</c:v>
                  </c:pt>
                  <c:pt idx="16">
                    <c:v>04-11-2024</c:v>
                  </c:pt>
                  <c:pt idx="17">
                    <c:v>30-12-2024</c:v>
                  </c:pt>
                  <c:pt idx="18">
                    <c:v>13-01-2025</c:v>
                  </c:pt>
                  <c:pt idx="19">
                    <c:v>03-03-2025</c:v>
                  </c:pt>
                  <c:pt idx="20">
                    <c:v>31-03-2025</c:v>
                  </c:pt>
                  <c:pt idx="21">
                    <c:v>07-04-2025</c:v>
                  </c:pt>
                  <c:pt idx="22">
                    <c:v>14-04-2025</c:v>
                  </c:pt>
                  <c:pt idx="23">
                    <c:v>14-04-2025</c:v>
                  </c:pt>
                  <c:pt idx="24">
                    <c:v>19-05-2025</c:v>
                  </c:pt>
                  <c:pt idx="25">
                    <c:v>02-06-2025</c:v>
                  </c:pt>
                  <c:pt idx="26">
                    <c:v>14-07-2025</c:v>
                  </c:pt>
                  <c:pt idx="27">
                    <c:v>28-07-2025</c:v>
                  </c:pt>
                  <c:pt idx="28">
                    <c:v>28-07-2025</c:v>
                  </c:pt>
                  <c:pt idx="29">
                    <c:v>25-08-2025</c:v>
                  </c:pt>
                </c:lvl>
              </c:multiLvlStrCache>
            </c:multiLvlStrRef>
          </c:cat>
          <c:val>
            <c:numRef>
              <c:f>' Task 6 moving Avg'!$D$2:$D$201</c:f>
              <c:numCache>
                <c:formatCode>General</c:formatCode>
                <c:ptCount val="30"/>
                <c:pt idx="0">
                  <c:v>68</c:v>
                </c:pt>
                <c:pt idx="1">
                  <c:v>296</c:v>
                </c:pt>
                <c:pt idx="2">
                  <c:v>64</c:v>
                </c:pt>
                <c:pt idx="3">
                  <c:v>131</c:v>
                </c:pt>
                <c:pt idx="4">
                  <c:v>170</c:v>
                </c:pt>
                <c:pt idx="5">
                  <c:v>100</c:v>
                </c:pt>
                <c:pt idx="6">
                  <c:v>96</c:v>
                </c:pt>
                <c:pt idx="7">
                  <c:v>265</c:v>
                </c:pt>
                <c:pt idx="8">
                  <c:v>290</c:v>
                </c:pt>
                <c:pt idx="9">
                  <c:v>162</c:v>
                </c:pt>
                <c:pt idx="10">
                  <c:v>239</c:v>
                </c:pt>
                <c:pt idx="11">
                  <c:v>284</c:v>
                </c:pt>
                <c:pt idx="12">
                  <c:v>246</c:v>
                </c:pt>
                <c:pt idx="13">
                  <c:v>215</c:v>
                </c:pt>
                <c:pt idx="14">
                  <c:v>261</c:v>
                </c:pt>
                <c:pt idx="15">
                  <c:v>235</c:v>
                </c:pt>
                <c:pt idx="16">
                  <c:v>73</c:v>
                </c:pt>
                <c:pt idx="17">
                  <c:v>103</c:v>
                </c:pt>
                <c:pt idx="18">
                  <c:v>60</c:v>
                </c:pt>
                <c:pt idx="19">
                  <c:v>165</c:v>
                </c:pt>
                <c:pt idx="20">
                  <c:v>58</c:v>
                </c:pt>
                <c:pt idx="21">
                  <c:v>80</c:v>
                </c:pt>
                <c:pt idx="22">
                  <c:v>137</c:v>
                </c:pt>
                <c:pt idx="23">
                  <c:v>281</c:v>
                </c:pt>
                <c:pt idx="24">
                  <c:v>74</c:v>
                </c:pt>
                <c:pt idx="25">
                  <c:v>293</c:v>
                </c:pt>
                <c:pt idx="26">
                  <c:v>183</c:v>
                </c:pt>
                <c:pt idx="27">
                  <c:v>143</c:v>
                </c:pt>
                <c:pt idx="28">
                  <c:v>103</c:v>
                </c:pt>
                <c:pt idx="29">
                  <c:v>245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01-474D-BABD-B434E93BC44D}"/>
            </c:ext>
          </c:extLst>
        </c:ser>
        <c:ser>
          <c:idx val="2"/>
          <c:order val="2"/>
          <c:tx>
            <c:strRef>
              <c:f>' Task 6 moving Avg'!$E$1</c:f>
              <c:strCache>
                <c:ptCount val="1"/>
                <c:pt idx="0">
                  <c:v>Total_Followers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 Task 6 moving Avg'!$A$2:$B$201</c:f>
              <c:multiLvlStrCache>
                <c:ptCount val="30"/>
                <c:lvl>
                  <c:pt idx="0">
                    <c:v>Instagram</c:v>
                  </c:pt>
                  <c:pt idx="1">
                    <c:v>YouTube</c:v>
                  </c:pt>
                  <c:pt idx="2">
                    <c:v>Twitter</c:v>
                  </c:pt>
                  <c:pt idx="3">
                    <c:v>Twitter</c:v>
                  </c:pt>
                  <c:pt idx="4">
                    <c:v>YouTube</c:v>
                  </c:pt>
                  <c:pt idx="5">
                    <c:v>Twitter</c:v>
                  </c:pt>
                  <c:pt idx="6">
                    <c:v>Instagram</c:v>
                  </c:pt>
                  <c:pt idx="7">
                    <c:v>Twitter</c:v>
                  </c:pt>
                  <c:pt idx="8">
                    <c:v>YouTube</c:v>
                  </c:pt>
                  <c:pt idx="9">
                    <c:v>Twitter</c:v>
                  </c:pt>
                  <c:pt idx="10">
                    <c:v>Twitter</c:v>
                  </c:pt>
                  <c:pt idx="11">
                    <c:v>Instagram</c:v>
                  </c:pt>
                  <c:pt idx="12">
                    <c:v>YouTube</c:v>
                  </c:pt>
                  <c:pt idx="13">
                    <c:v>YouTube</c:v>
                  </c:pt>
                  <c:pt idx="14">
                    <c:v>Instagram</c:v>
                  </c:pt>
                  <c:pt idx="15">
                    <c:v>Instagram</c:v>
                  </c:pt>
                  <c:pt idx="16">
                    <c:v>Twitter</c:v>
                  </c:pt>
                  <c:pt idx="17">
                    <c:v>Twitter</c:v>
                  </c:pt>
                  <c:pt idx="18">
                    <c:v>Twitter</c:v>
                  </c:pt>
                  <c:pt idx="19">
                    <c:v>Instagram</c:v>
                  </c:pt>
                  <c:pt idx="20">
                    <c:v>YouTube</c:v>
                  </c:pt>
                  <c:pt idx="21">
                    <c:v>Instagram</c:v>
                  </c:pt>
                  <c:pt idx="22">
                    <c:v>Twitter</c:v>
                  </c:pt>
                  <c:pt idx="23">
                    <c:v>YouTube</c:v>
                  </c:pt>
                  <c:pt idx="24">
                    <c:v>Twitter</c:v>
                  </c:pt>
                  <c:pt idx="25">
                    <c:v>Twitter</c:v>
                  </c:pt>
                  <c:pt idx="26">
                    <c:v>Instagram</c:v>
                  </c:pt>
                  <c:pt idx="27">
                    <c:v>Twitter</c:v>
                  </c:pt>
                  <c:pt idx="28">
                    <c:v>YouTube</c:v>
                  </c:pt>
                  <c:pt idx="29">
                    <c:v>Twitter</c:v>
                  </c:pt>
                </c:lvl>
                <c:lvl>
                  <c:pt idx="0">
                    <c:v>03-06-2024</c:v>
                  </c:pt>
                  <c:pt idx="1">
                    <c:v>03-06-2024</c:v>
                  </c:pt>
                  <c:pt idx="2">
                    <c:v>10-06-2024</c:v>
                  </c:pt>
                  <c:pt idx="3">
                    <c:v>17-06-2024</c:v>
                  </c:pt>
                  <c:pt idx="4">
                    <c:v>17-06-2024</c:v>
                  </c:pt>
                  <c:pt idx="5">
                    <c:v>08-07-2024</c:v>
                  </c:pt>
                  <c:pt idx="6">
                    <c:v>05-08-2024</c:v>
                  </c:pt>
                  <c:pt idx="7">
                    <c:v>12-08-2024</c:v>
                  </c:pt>
                  <c:pt idx="8">
                    <c:v>26-08-2024</c:v>
                  </c:pt>
                  <c:pt idx="9">
                    <c:v>09-09-2024</c:v>
                  </c:pt>
                  <c:pt idx="10">
                    <c:v>23-09-2024</c:v>
                  </c:pt>
                  <c:pt idx="11">
                    <c:v>30-09-2024</c:v>
                  </c:pt>
                  <c:pt idx="12">
                    <c:v>30-09-2024</c:v>
                  </c:pt>
                  <c:pt idx="13">
                    <c:v>14-10-2024</c:v>
                  </c:pt>
                  <c:pt idx="14">
                    <c:v>28-10-2024</c:v>
                  </c:pt>
                  <c:pt idx="15">
                    <c:v>04-11-2024</c:v>
                  </c:pt>
                  <c:pt idx="16">
                    <c:v>04-11-2024</c:v>
                  </c:pt>
                  <c:pt idx="17">
                    <c:v>30-12-2024</c:v>
                  </c:pt>
                  <c:pt idx="18">
                    <c:v>13-01-2025</c:v>
                  </c:pt>
                  <c:pt idx="19">
                    <c:v>03-03-2025</c:v>
                  </c:pt>
                  <c:pt idx="20">
                    <c:v>31-03-2025</c:v>
                  </c:pt>
                  <c:pt idx="21">
                    <c:v>07-04-2025</c:v>
                  </c:pt>
                  <c:pt idx="22">
                    <c:v>14-04-2025</c:v>
                  </c:pt>
                  <c:pt idx="23">
                    <c:v>14-04-2025</c:v>
                  </c:pt>
                  <c:pt idx="24">
                    <c:v>19-05-2025</c:v>
                  </c:pt>
                  <c:pt idx="25">
                    <c:v>02-06-2025</c:v>
                  </c:pt>
                  <c:pt idx="26">
                    <c:v>14-07-2025</c:v>
                  </c:pt>
                  <c:pt idx="27">
                    <c:v>28-07-2025</c:v>
                  </c:pt>
                  <c:pt idx="28">
                    <c:v>28-07-2025</c:v>
                  </c:pt>
                  <c:pt idx="29">
                    <c:v>25-08-2025</c:v>
                  </c:pt>
                </c:lvl>
              </c:multiLvlStrCache>
            </c:multiLvlStrRef>
          </c:cat>
          <c:val>
            <c:numRef>
              <c:f>' Task 6 moving Avg'!$E$2:$E$201</c:f>
              <c:numCache>
                <c:formatCode>General</c:formatCode>
                <c:ptCount val="30"/>
                <c:pt idx="0">
                  <c:v>124562</c:v>
                </c:pt>
                <c:pt idx="1">
                  <c:v>370242</c:v>
                </c:pt>
                <c:pt idx="2">
                  <c:v>328902</c:v>
                </c:pt>
                <c:pt idx="3">
                  <c:v>245947</c:v>
                </c:pt>
                <c:pt idx="4">
                  <c:v>250428</c:v>
                </c:pt>
                <c:pt idx="5">
                  <c:v>76866</c:v>
                </c:pt>
                <c:pt idx="6">
                  <c:v>200636</c:v>
                </c:pt>
                <c:pt idx="7">
                  <c:v>115505</c:v>
                </c:pt>
                <c:pt idx="8">
                  <c:v>271044</c:v>
                </c:pt>
                <c:pt idx="9">
                  <c:v>269082</c:v>
                </c:pt>
                <c:pt idx="10">
                  <c:v>362441</c:v>
                </c:pt>
                <c:pt idx="11">
                  <c:v>374952</c:v>
                </c:pt>
                <c:pt idx="12">
                  <c:v>358581</c:v>
                </c:pt>
                <c:pt idx="13">
                  <c:v>325325</c:v>
                </c:pt>
                <c:pt idx="14">
                  <c:v>308533</c:v>
                </c:pt>
                <c:pt idx="15">
                  <c:v>326791</c:v>
                </c:pt>
                <c:pt idx="16">
                  <c:v>348877</c:v>
                </c:pt>
                <c:pt idx="17">
                  <c:v>373274</c:v>
                </c:pt>
                <c:pt idx="18">
                  <c:v>341856</c:v>
                </c:pt>
                <c:pt idx="19">
                  <c:v>116436</c:v>
                </c:pt>
                <c:pt idx="20">
                  <c:v>202234</c:v>
                </c:pt>
                <c:pt idx="21">
                  <c:v>340987</c:v>
                </c:pt>
                <c:pt idx="22">
                  <c:v>213950</c:v>
                </c:pt>
                <c:pt idx="23">
                  <c:v>258115</c:v>
                </c:pt>
                <c:pt idx="24">
                  <c:v>327012</c:v>
                </c:pt>
                <c:pt idx="25">
                  <c:v>116632</c:v>
                </c:pt>
                <c:pt idx="26">
                  <c:v>129640</c:v>
                </c:pt>
                <c:pt idx="27">
                  <c:v>116742</c:v>
                </c:pt>
                <c:pt idx="28">
                  <c:v>81184</c:v>
                </c:pt>
                <c:pt idx="29">
                  <c:v>296450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01-474D-BABD-B434E93BC44D}"/>
            </c:ext>
          </c:extLst>
        </c:ser>
        <c:ser>
          <c:idx val="3"/>
          <c:order val="3"/>
          <c:tx>
            <c:strRef>
              <c:f>' Task 6 moving Avg'!$F$1</c:f>
              <c:strCache>
                <c:ptCount val="1"/>
                <c:pt idx="0">
                  <c:v>Moving Avg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 Task 6 moving Avg'!$A$2:$B$201</c:f>
              <c:multiLvlStrCache>
                <c:ptCount val="30"/>
                <c:lvl>
                  <c:pt idx="0">
                    <c:v>Instagram</c:v>
                  </c:pt>
                  <c:pt idx="1">
                    <c:v>YouTube</c:v>
                  </c:pt>
                  <c:pt idx="2">
                    <c:v>Twitter</c:v>
                  </c:pt>
                  <c:pt idx="3">
                    <c:v>Twitter</c:v>
                  </c:pt>
                  <c:pt idx="4">
                    <c:v>YouTube</c:v>
                  </c:pt>
                  <c:pt idx="5">
                    <c:v>Twitter</c:v>
                  </c:pt>
                  <c:pt idx="6">
                    <c:v>Instagram</c:v>
                  </c:pt>
                  <c:pt idx="7">
                    <c:v>Twitter</c:v>
                  </c:pt>
                  <c:pt idx="8">
                    <c:v>YouTube</c:v>
                  </c:pt>
                  <c:pt idx="9">
                    <c:v>Twitter</c:v>
                  </c:pt>
                  <c:pt idx="10">
                    <c:v>Twitter</c:v>
                  </c:pt>
                  <c:pt idx="11">
                    <c:v>Instagram</c:v>
                  </c:pt>
                  <c:pt idx="12">
                    <c:v>YouTube</c:v>
                  </c:pt>
                  <c:pt idx="13">
                    <c:v>YouTube</c:v>
                  </c:pt>
                  <c:pt idx="14">
                    <c:v>Instagram</c:v>
                  </c:pt>
                  <c:pt idx="15">
                    <c:v>Instagram</c:v>
                  </c:pt>
                  <c:pt idx="16">
                    <c:v>Twitter</c:v>
                  </c:pt>
                  <c:pt idx="17">
                    <c:v>Twitter</c:v>
                  </c:pt>
                  <c:pt idx="18">
                    <c:v>Twitter</c:v>
                  </c:pt>
                  <c:pt idx="19">
                    <c:v>Instagram</c:v>
                  </c:pt>
                  <c:pt idx="20">
                    <c:v>YouTube</c:v>
                  </c:pt>
                  <c:pt idx="21">
                    <c:v>Instagram</c:v>
                  </c:pt>
                  <c:pt idx="22">
                    <c:v>Twitter</c:v>
                  </c:pt>
                  <c:pt idx="23">
                    <c:v>YouTube</c:v>
                  </c:pt>
                  <c:pt idx="24">
                    <c:v>Twitter</c:v>
                  </c:pt>
                  <c:pt idx="25">
                    <c:v>Twitter</c:v>
                  </c:pt>
                  <c:pt idx="26">
                    <c:v>Instagram</c:v>
                  </c:pt>
                  <c:pt idx="27">
                    <c:v>Twitter</c:v>
                  </c:pt>
                  <c:pt idx="28">
                    <c:v>YouTube</c:v>
                  </c:pt>
                  <c:pt idx="29">
                    <c:v>Twitter</c:v>
                  </c:pt>
                </c:lvl>
                <c:lvl>
                  <c:pt idx="0">
                    <c:v>03-06-2024</c:v>
                  </c:pt>
                  <c:pt idx="1">
                    <c:v>03-06-2024</c:v>
                  </c:pt>
                  <c:pt idx="2">
                    <c:v>10-06-2024</c:v>
                  </c:pt>
                  <c:pt idx="3">
                    <c:v>17-06-2024</c:v>
                  </c:pt>
                  <c:pt idx="4">
                    <c:v>17-06-2024</c:v>
                  </c:pt>
                  <c:pt idx="5">
                    <c:v>08-07-2024</c:v>
                  </c:pt>
                  <c:pt idx="6">
                    <c:v>05-08-2024</c:v>
                  </c:pt>
                  <c:pt idx="7">
                    <c:v>12-08-2024</c:v>
                  </c:pt>
                  <c:pt idx="8">
                    <c:v>26-08-2024</c:v>
                  </c:pt>
                  <c:pt idx="9">
                    <c:v>09-09-2024</c:v>
                  </c:pt>
                  <c:pt idx="10">
                    <c:v>23-09-2024</c:v>
                  </c:pt>
                  <c:pt idx="11">
                    <c:v>30-09-2024</c:v>
                  </c:pt>
                  <c:pt idx="12">
                    <c:v>30-09-2024</c:v>
                  </c:pt>
                  <c:pt idx="13">
                    <c:v>14-10-2024</c:v>
                  </c:pt>
                  <c:pt idx="14">
                    <c:v>28-10-2024</c:v>
                  </c:pt>
                  <c:pt idx="15">
                    <c:v>04-11-2024</c:v>
                  </c:pt>
                  <c:pt idx="16">
                    <c:v>04-11-2024</c:v>
                  </c:pt>
                  <c:pt idx="17">
                    <c:v>30-12-2024</c:v>
                  </c:pt>
                  <c:pt idx="18">
                    <c:v>13-01-2025</c:v>
                  </c:pt>
                  <c:pt idx="19">
                    <c:v>03-03-2025</c:v>
                  </c:pt>
                  <c:pt idx="20">
                    <c:v>31-03-2025</c:v>
                  </c:pt>
                  <c:pt idx="21">
                    <c:v>07-04-2025</c:v>
                  </c:pt>
                  <c:pt idx="22">
                    <c:v>14-04-2025</c:v>
                  </c:pt>
                  <c:pt idx="23">
                    <c:v>14-04-2025</c:v>
                  </c:pt>
                  <c:pt idx="24">
                    <c:v>19-05-2025</c:v>
                  </c:pt>
                  <c:pt idx="25">
                    <c:v>02-06-2025</c:v>
                  </c:pt>
                  <c:pt idx="26">
                    <c:v>14-07-2025</c:v>
                  </c:pt>
                  <c:pt idx="27">
                    <c:v>28-07-2025</c:v>
                  </c:pt>
                  <c:pt idx="28">
                    <c:v>28-07-2025</c:v>
                  </c:pt>
                  <c:pt idx="29">
                    <c:v>25-08-2025</c:v>
                  </c:pt>
                </c:lvl>
              </c:multiLvlStrCache>
            </c:multiLvlStrRef>
          </c:cat>
          <c:val>
            <c:numRef>
              <c:f>' Task 6 moving Avg'!$F$2:$F$201</c:f>
              <c:numCache>
                <c:formatCode>General</c:formatCode>
                <c:ptCount val="30"/>
                <c:pt idx="2">
                  <c:v>254894</c:v>
                </c:pt>
                <c:pt idx="3">
                  <c:v>265588.75</c:v>
                </c:pt>
                <c:pt idx="4">
                  <c:v>245970.25</c:v>
                </c:pt>
                <c:pt idx="5">
                  <c:v>233903</c:v>
                </c:pt>
                <c:pt idx="6">
                  <c:v>252148.75</c:v>
                </c:pt>
                <c:pt idx="7">
                  <c:v>158770.75</c:v>
                </c:pt>
                <c:pt idx="8">
                  <c:v>216728</c:v>
                </c:pt>
                <c:pt idx="9">
                  <c:v>338745.25</c:v>
                </c:pt>
                <c:pt idx="10">
                  <c:v>247913.25</c:v>
                </c:pt>
                <c:pt idx="11">
                  <c:v>290727.25</c:v>
                </c:pt>
                <c:pt idx="12">
                  <c:v>314521.25</c:v>
                </c:pt>
                <c:pt idx="13">
                  <c:v>239255</c:v>
                </c:pt>
                <c:pt idx="14">
                  <c:v>171614.75</c:v>
                </c:pt>
                <c:pt idx="15">
                  <c:v>269218.5</c:v>
                </c:pt>
                <c:pt idx="16">
                  <c:v>279304.5</c:v>
                </c:pt>
                <c:pt idx="17">
                  <c:v>279398.75</c:v>
                </c:pt>
                <c:pt idx="18">
                  <c:v>273685.5</c:v>
                </c:pt>
                <c:pt idx="19">
                  <c:v>250092</c:v>
                </c:pt>
                <c:pt idx="20">
                  <c:v>211520</c:v>
                </c:pt>
                <c:pt idx="21">
                  <c:v>197365</c:v>
                </c:pt>
                <c:pt idx="22">
                  <c:v>288608.5</c:v>
                </c:pt>
                <c:pt idx="23">
                  <c:v>268112.75</c:v>
                </c:pt>
                <c:pt idx="24">
                  <c:v>216635.75</c:v>
                </c:pt>
                <c:pt idx="25">
                  <c:v>264698.25</c:v>
                </c:pt>
                <c:pt idx="26">
                  <c:v>254735.5</c:v>
                </c:pt>
                <c:pt idx="27">
                  <c:v>194686</c:v>
                </c:pt>
                <c:pt idx="28">
                  <c:v>167576.5</c:v>
                </c:pt>
                <c:pt idx="29">
                  <c:v>236719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F01-474D-BABD-B434E93BC44D}"/>
            </c:ext>
          </c:extLst>
        </c:ser>
        <c:ser>
          <c:idx val="4"/>
          <c:order val="4"/>
          <c:tx>
            <c:strRef>
              <c:f>' Task 6 moving Avg'!$G$1</c:f>
              <c:strCache>
                <c:ptCount val="1"/>
                <c:pt idx="0">
                  <c:v>Total engagement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' Task 6 moving Avg'!$A$2:$B$201</c:f>
              <c:multiLvlStrCache>
                <c:ptCount val="30"/>
                <c:lvl>
                  <c:pt idx="0">
                    <c:v>Instagram</c:v>
                  </c:pt>
                  <c:pt idx="1">
                    <c:v>YouTube</c:v>
                  </c:pt>
                  <c:pt idx="2">
                    <c:v>Twitter</c:v>
                  </c:pt>
                  <c:pt idx="3">
                    <c:v>Twitter</c:v>
                  </c:pt>
                  <c:pt idx="4">
                    <c:v>YouTube</c:v>
                  </c:pt>
                  <c:pt idx="5">
                    <c:v>Twitter</c:v>
                  </c:pt>
                  <c:pt idx="6">
                    <c:v>Instagram</c:v>
                  </c:pt>
                  <c:pt idx="7">
                    <c:v>Twitter</c:v>
                  </c:pt>
                  <c:pt idx="8">
                    <c:v>YouTube</c:v>
                  </c:pt>
                  <c:pt idx="9">
                    <c:v>Twitter</c:v>
                  </c:pt>
                  <c:pt idx="10">
                    <c:v>Twitter</c:v>
                  </c:pt>
                  <c:pt idx="11">
                    <c:v>Instagram</c:v>
                  </c:pt>
                  <c:pt idx="12">
                    <c:v>YouTube</c:v>
                  </c:pt>
                  <c:pt idx="13">
                    <c:v>YouTube</c:v>
                  </c:pt>
                  <c:pt idx="14">
                    <c:v>Instagram</c:v>
                  </c:pt>
                  <c:pt idx="15">
                    <c:v>Instagram</c:v>
                  </c:pt>
                  <c:pt idx="16">
                    <c:v>Twitter</c:v>
                  </c:pt>
                  <c:pt idx="17">
                    <c:v>Twitter</c:v>
                  </c:pt>
                  <c:pt idx="18">
                    <c:v>Twitter</c:v>
                  </c:pt>
                  <c:pt idx="19">
                    <c:v>Instagram</c:v>
                  </c:pt>
                  <c:pt idx="20">
                    <c:v>YouTube</c:v>
                  </c:pt>
                  <c:pt idx="21">
                    <c:v>Instagram</c:v>
                  </c:pt>
                  <c:pt idx="22">
                    <c:v>Twitter</c:v>
                  </c:pt>
                  <c:pt idx="23">
                    <c:v>YouTube</c:v>
                  </c:pt>
                  <c:pt idx="24">
                    <c:v>Twitter</c:v>
                  </c:pt>
                  <c:pt idx="25">
                    <c:v>Twitter</c:v>
                  </c:pt>
                  <c:pt idx="26">
                    <c:v>Instagram</c:v>
                  </c:pt>
                  <c:pt idx="27">
                    <c:v>Twitter</c:v>
                  </c:pt>
                  <c:pt idx="28">
                    <c:v>YouTube</c:v>
                  </c:pt>
                  <c:pt idx="29">
                    <c:v>Twitter</c:v>
                  </c:pt>
                </c:lvl>
                <c:lvl>
                  <c:pt idx="0">
                    <c:v>03-06-2024</c:v>
                  </c:pt>
                  <c:pt idx="1">
                    <c:v>03-06-2024</c:v>
                  </c:pt>
                  <c:pt idx="2">
                    <c:v>10-06-2024</c:v>
                  </c:pt>
                  <c:pt idx="3">
                    <c:v>17-06-2024</c:v>
                  </c:pt>
                  <c:pt idx="4">
                    <c:v>17-06-2024</c:v>
                  </c:pt>
                  <c:pt idx="5">
                    <c:v>08-07-2024</c:v>
                  </c:pt>
                  <c:pt idx="6">
                    <c:v>05-08-2024</c:v>
                  </c:pt>
                  <c:pt idx="7">
                    <c:v>12-08-2024</c:v>
                  </c:pt>
                  <c:pt idx="8">
                    <c:v>26-08-2024</c:v>
                  </c:pt>
                  <c:pt idx="9">
                    <c:v>09-09-2024</c:v>
                  </c:pt>
                  <c:pt idx="10">
                    <c:v>23-09-2024</c:v>
                  </c:pt>
                  <c:pt idx="11">
                    <c:v>30-09-2024</c:v>
                  </c:pt>
                  <c:pt idx="12">
                    <c:v>30-09-2024</c:v>
                  </c:pt>
                  <c:pt idx="13">
                    <c:v>14-10-2024</c:v>
                  </c:pt>
                  <c:pt idx="14">
                    <c:v>28-10-2024</c:v>
                  </c:pt>
                  <c:pt idx="15">
                    <c:v>04-11-2024</c:v>
                  </c:pt>
                  <c:pt idx="16">
                    <c:v>04-11-2024</c:v>
                  </c:pt>
                  <c:pt idx="17">
                    <c:v>30-12-2024</c:v>
                  </c:pt>
                  <c:pt idx="18">
                    <c:v>13-01-2025</c:v>
                  </c:pt>
                  <c:pt idx="19">
                    <c:v>03-03-2025</c:v>
                  </c:pt>
                  <c:pt idx="20">
                    <c:v>31-03-2025</c:v>
                  </c:pt>
                  <c:pt idx="21">
                    <c:v>07-04-2025</c:v>
                  </c:pt>
                  <c:pt idx="22">
                    <c:v>14-04-2025</c:v>
                  </c:pt>
                  <c:pt idx="23">
                    <c:v>14-04-2025</c:v>
                  </c:pt>
                  <c:pt idx="24">
                    <c:v>19-05-2025</c:v>
                  </c:pt>
                  <c:pt idx="25">
                    <c:v>02-06-2025</c:v>
                  </c:pt>
                  <c:pt idx="26">
                    <c:v>14-07-2025</c:v>
                  </c:pt>
                  <c:pt idx="27">
                    <c:v>28-07-2025</c:v>
                  </c:pt>
                  <c:pt idx="28">
                    <c:v>28-07-2025</c:v>
                  </c:pt>
                  <c:pt idx="29">
                    <c:v>25-08-2025</c:v>
                  </c:pt>
                </c:lvl>
              </c:multiLvlStrCache>
            </c:multiLvlStrRef>
          </c:cat>
          <c:val>
            <c:numRef>
              <c:f>' Task 6 moving Avg'!$G$2:$G$201</c:f>
              <c:numCache>
                <c:formatCode>General</c:formatCode>
                <c:ptCount val="30"/>
                <c:pt idx="0">
                  <c:v>2537</c:v>
                </c:pt>
                <c:pt idx="1">
                  <c:v>4396</c:v>
                </c:pt>
                <c:pt idx="2">
                  <c:v>4472</c:v>
                </c:pt>
                <c:pt idx="3">
                  <c:v>2051</c:v>
                </c:pt>
                <c:pt idx="4">
                  <c:v>2059</c:v>
                </c:pt>
                <c:pt idx="5">
                  <c:v>1356</c:v>
                </c:pt>
                <c:pt idx="6">
                  <c:v>3637</c:v>
                </c:pt>
                <c:pt idx="7">
                  <c:v>2532</c:v>
                </c:pt>
                <c:pt idx="8">
                  <c:v>3331</c:v>
                </c:pt>
                <c:pt idx="9">
                  <c:v>3544</c:v>
                </c:pt>
                <c:pt idx="10">
                  <c:v>4348</c:v>
                </c:pt>
                <c:pt idx="11">
                  <c:v>5614</c:v>
                </c:pt>
                <c:pt idx="12">
                  <c:v>2562</c:v>
                </c:pt>
                <c:pt idx="13">
                  <c:v>4227</c:v>
                </c:pt>
                <c:pt idx="14">
                  <c:v>2150</c:v>
                </c:pt>
                <c:pt idx="15">
                  <c:v>1591</c:v>
                </c:pt>
                <c:pt idx="16">
                  <c:v>2136</c:v>
                </c:pt>
                <c:pt idx="17">
                  <c:v>3746</c:v>
                </c:pt>
                <c:pt idx="18">
                  <c:v>2803</c:v>
                </c:pt>
                <c:pt idx="19">
                  <c:v>3464</c:v>
                </c:pt>
                <c:pt idx="20">
                  <c:v>2265</c:v>
                </c:pt>
                <c:pt idx="21">
                  <c:v>4274</c:v>
                </c:pt>
                <c:pt idx="22">
                  <c:v>2858</c:v>
                </c:pt>
                <c:pt idx="23">
                  <c:v>3424</c:v>
                </c:pt>
                <c:pt idx="24">
                  <c:v>2570</c:v>
                </c:pt>
                <c:pt idx="25">
                  <c:v>5593</c:v>
                </c:pt>
                <c:pt idx="26">
                  <c:v>1837</c:v>
                </c:pt>
                <c:pt idx="27">
                  <c:v>2325</c:v>
                </c:pt>
                <c:pt idx="28">
                  <c:v>5507</c:v>
                </c:pt>
                <c:pt idx="29">
                  <c:v>3916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F01-474D-BABD-B434E93BC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7870335"/>
        <c:axId val="317870815"/>
      </c:lineChart>
      <c:catAx>
        <c:axId val="3178703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70815"/>
        <c:crosses val="autoZero"/>
        <c:auto val="1"/>
        <c:lblAlgn val="ctr"/>
        <c:lblOffset val="100"/>
        <c:noMultiLvlLbl val="0"/>
      </c:catAx>
      <c:valAx>
        <c:axId val="31787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70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21771</xdr:colOff>
      <xdr:row>0</xdr:row>
      <xdr:rowOff>133893</xdr:rowOff>
    </xdr:from>
    <xdr:to>
      <xdr:col>11</xdr:col>
      <xdr:colOff>631372</xdr:colOff>
      <xdr:row>15</xdr:row>
      <xdr:rowOff>133893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33F32A-E9F1-DEEC-303A-06B3D0FB6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758733</xdr:colOff>
      <xdr:row>0</xdr:row>
      <xdr:rowOff>70759</xdr:rowOff>
    </xdr:from>
    <xdr:to>
      <xdr:col>8</xdr:col>
      <xdr:colOff>174173</xdr:colOff>
      <xdr:row>10</xdr:row>
      <xdr:rowOff>76202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2" name="Week_Start_Date">
              <a:extLst>
                <a:ext uri="{FF2B5EF4-FFF2-40B4-BE49-F238E27FC236}">
                  <a16:creationId xmlns:a16="http://schemas.microsoft.com/office/drawing/2014/main" id="{412D6218-724E-9FC6-E5BE-EDE375667F8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Week_Start_Dat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34047" y="70759"/>
              <a:ext cx="3377840" cy="18560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  <xdr:twoCellAnchor>
    <xdr:from>
      <xdr:col>5</xdr:col>
      <xdr:colOff>5444</xdr:colOff>
      <xdr:row>11</xdr:row>
      <xdr:rowOff>70758</xdr:rowOff>
    </xdr:from>
    <xdr:to>
      <xdr:col>8</xdr:col>
      <xdr:colOff>1121230</xdr:colOff>
      <xdr:row>26</xdr:row>
      <xdr:rowOff>38101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8770F72-0EC9-F8D6-9D4D-913AA1909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130628</xdr:colOff>
      <xdr:row>0</xdr:row>
      <xdr:rowOff>43543</xdr:rowOff>
    </xdr:from>
    <xdr:to>
      <xdr:col>17</xdr:col>
      <xdr:colOff>293915</xdr:colOff>
      <xdr:row>182</xdr:row>
      <xdr:rowOff>65313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E5DBFD-3B80-D0E0-8E43-AD6EDF33B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2.190872106483" createdVersion="8" refreshedVersion="8" minRefreshableVersion="3" recordCount="300" xr:uid="{65C0746F-5E88-46FC-9AFC-91117AFF3A02}">
  <cacheSource type="worksheet">
    <worksheetSource name="task_2_unsplit_dataset"/>
  </cacheSource>
  <cacheFields count="17">
    <cacheField name="Post ID" numFmtId="0">
      <sharedItems/>
    </cacheField>
    <cacheField name="Platform" numFmtId="0">
      <sharedItems count="3">
        <s v="Instagram"/>
        <s v="YouTube"/>
        <s v="Twitter"/>
      </sharedItems>
    </cacheField>
    <cacheField name="Date" numFmtId="14">
      <sharedItems containsSemiMixedTypes="0" containsNonDate="0" containsDate="1" containsString="0" minDate="2024-01-01T00:00:00" maxDate="2025-07-02T00:00:00" count="235">
        <d v="2025-02-01T00:00:00"/>
        <d v="2024-04-06T00:00:00"/>
        <d v="2024-06-13T00:00:00"/>
        <d v="2024-03-06T00:00:00"/>
        <d v="2024-07-05T00:00:00"/>
        <d v="2024-10-18T00:00:00"/>
        <d v="2024-05-04T00:00:00"/>
        <d v="2024-11-25T00:00:00"/>
        <d v="2024-09-06T00:00:00"/>
        <d v="2024-07-14T00:00:00"/>
        <d v="2024-02-12T00:00:00"/>
        <d v="2025-03-06T00:00:00"/>
        <d v="2024-01-08T00:00:00"/>
        <d v="2024-07-17T00:00:00"/>
        <d v="2024-08-10T00:00:00"/>
        <d v="2024-04-16T00:00:00"/>
        <d v="2024-07-07T00:00:00"/>
        <d v="2024-05-26T00:00:00"/>
        <d v="2024-03-28T00:00:00"/>
        <d v="2024-01-11T00:00:00"/>
        <d v="2024-10-11T00:00:00"/>
        <d v="2025-03-07T00:00:00"/>
        <d v="2024-08-26T00:00:00"/>
        <d v="2025-04-27T00:00:00"/>
        <d v="2024-02-29T00:00:00"/>
        <d v="2024-01-26T00:00:00"/>
        <d v="2024-07-21T00:00:00"/>
        <d v="2025-01-13T00:00:00"/>
        <d v="2024-06-26T00:00:00"/>
        <d v="2025-04-15T00:00:00"/>
        <d v="2025-01-17T00:00:00"/>
        <d v="2024-05-12T00:00:00"/>
        <d v="2024-01-28T00:00:00"/>
        <d v="2024-01-10T00:00:00"/>
        <d v="2025-03-20T00:00:00"/>
        <d v="2024-01-27T00:00:00"/>
        <d v="2024-06-17T00:00:00"/>
        <d v="2025-05-22T00:00:00"/>
        <d v="2025-04-13T00:00:00"/>
        <d v="2024-09-27T00:00:00"/>
        <d v="2024-11-19T00:00:00"/>
        <d v="2025-03-02T00:00:00"/>
        <d v="2025-05-26T00:00:00"/>
        <d v="2024-04-05T00:00:00"/>
        <d v="2025-01-27T00:00:00"/>
        <d v="2025-01-03T00:00:00"/>
        <d v="2024-11-23T00:00:00"/>
        <d v="2024-04-18T00:00:00"/>
        <d v="2024-06-04T00:00:00"/>
        <d v="2025-04-02T00:00:00"/>
        <d v="2024-11-10T00:00:00"/>
        <d v="2024-03-19T00:00:00"/>
        <d v="2024-07-23T00:00:00"/>
        <d v="2025-06-06T00:00:00"/>
        <d v="2024-01-14T00:00:00"/>
        <d v="2024-12-08T00:00:00"/>
        <d v="2024-10-06T00:00:00"/>
        <d v="2025-04-16T00:00:00"/>
        <d v="2025-04-07T00:00:00"/>
        <d v="2024-10-09T00:00:00"/>
        <d v="2025-01-15T00:00:00"/>
        <d v="2025-01-12T00:00:00"/>
        <d v="2024-02-10T00:00:00"/>
        <d v="2024-12-10T00:00:00"/>
        <d v="2024-06-19T00:00:00"/>
        <d v="2024-02-01T00:00:00"/>
        <d v="2025-03-22T00:00:00"/>
        <d v="2024-02-24T00:00:00"/>
        <d v="2025-05-14T00:00:00"/>
        <d v="2024-09-07T00:00:00"/>
        <d v="2024-12-20T00:00:00"/>
        <d v="2024-08-29T00:00:00"/>
        <d v="2025-06-08T00:00:00"/>
        <d v="2024-10-26T00:00:00"/>
        <d v="2024-08-08T00:00:00"/>
        <d v="2024-11-16T00:00:00"/>
        <d v="2024-03-27T00:00:00"/>
        <d v="2024-11-08T00:00:00"/>
        <d v="2024-11-07T00:00:00"/>
        <d v="2024-10-08T00:00:00"/>
        <d v="2024-02-19T00:00:00"/>
        <d v="2024-08-27T00:00:00"/>
        <d v="2025-01-29T00:00:00"/>
        <d v="2024-05-01T00:00:00"/>
        <d v="2024-06-25T00:00:00"/>
        <d v="2024-08-13T00:00:00"/>
        <d v="2024-12-27T00:00:00"/>
        <d v="2025-05-04T00:00:00"/>
        <d v="2024-12-03T00:00:00"/>
        <d v="2025-06-15T00:00:00"/>
        <d v="2024-12-04T00:00:00"/>
        <d v="2024-05-14T00:00:00"/>
        <d v="2024-05-06T00:00:00"/>
        <d v="2024-06-10T00:00:00"/>
        <d v="2024-11-29T00:00:00"/>
        <d v="2025-04-26T00:00:00"/>
        <d v="2025-01-01T00:00:00"/>
        <d v="2025-01-09T00:00:00"/>
        <d v="2025-06-10T00:00:00"/>
        <d v="2024-04-19T00:00:00"/>
        <d v="2025-02-14T00:00:00"/>
        <d v="2025-04-22T00:00:00"/>
        <d v="2024-05-08T00:00:00"/>
        <d v="2025-01-05T00:00:00"/>
        <d v="2025-05-28T00:00:00"/>
        <d v="2025-06-17T00:00:00"/>
        <d v="2024-08-03T00:00:00"/>
        <d v="2024-08-18T00:00:00"/>
        <d v="2024-10-15T00:00:00"/>
        <d v="2024-10-12T00:00:00"/>
        <d v="2024-02-14T00:00:00"/>
        <d v="2024-09-18T00:00:00"/>
        <d v="2024-11-21T00:00:00"/>
        <d v="2025-02-16T00:00:00"/>
        <d v="2024-09-09T00:00:00"/>
        <d v="2024-07-16T00:00:00"/>
        <d v="2024-11-06T00:00:00"/>
        <d v="2024-02-22T00:00:00"/>
        <d v="2024-09-28T00:00:00"/>
        <d v="2025-05-15T00:00:00"/>
        <d v="2025-03-09T00:00:00"/>
        <d v="2024-04-25T00:00:00"/>
        <d v="2024-11-14T00:00:00"/>
        <d v="2024-04-03T00:00:00"/>
        <d v="2024-07-02T00:00:00"/>
        <d v="2025-01-16T00:00:00"/>
        <d v="2024-03-18T00:00:00"/>
        <d v="2024-12-30T00:00:00"/>
        <d v="2025-05-31T00:00:00"/>
        <d v="2025-06-21T00:00:00"/>
        <d v="2024-10-20T00:00:00"/>
        <d v="2024-02-02T00:00:00"/>
        <d v="2024-09-15T00:00:00"/>
        <d v="2025-02-03T00:00:00"/>
        <d v="2025-03-04T00:00:00"/>
        <d v="2024-12-02T00:00:00"/>
        <d v="2024-01-07T00:00:00"/>
        <d v="2024-06-29T00:00:00"/>
        <d v="2025-06-30T00:00:00"/>
        <d v="2024-02-07T00:00:00"/>
        <d v="2024-02-03T00:00:00"/>
        <d v="2024-09-10T00:00:00"/>
        <d v="2025-01-26T00:00:00"/>
        <d v="2025-02-05T00:00:00"/>
        <d v="2025-02-19T00:00:00"/>
        <d v="2024-03-22T00:00:00"/>
        <d v="2024-02-18T00:00:00"/>
        <d v="2025-04-30T00:00:00"/>
        <d v="2024-12-21T00:00:00"/>
        <d v="2024-08-12T00:00:00"/>
        <d v="2024-04-12T00:00:00"/>
        <d v="2025-06-27T00:00:00"/>
        <d v="2024-09-01T00:00:00"/>
        <d v="2024-12-14T00:00:00"/>
        <d v="2025-06-24T00:00:00"/>
        <d v="2024-05-30T00:00:00"/>
        <d v="2024-10-24T00:00:00"/>
        <d v="2025-01-21T00:00:00"/>
        <d v="2025-03-08T00:00:00"/>
        <d v="2024-12-19T00:00:00"/>
        <d v="2024-05-09T00:00:00"/>
        <d v="2025-06-18T00:00:00"/>
        <d v="2024-12-29T00:00:00"/>
        <d v="2025-03-18T00:00:00"/>
        <d v="2024-05-07T00:00:00"/>
        <d v="2025-05-08T00:00:00"/>
        <d v="2025-05-27T00:00:00"/>
        <d v="2024-09-04T00:00:00"/>
        <d v="2024-11-03T00:00:00"/>
        <d v="2025-01-22T00:00:00"/>
        <d v="2024-12-17T00:00:00"/>
        <d v="2024-05-19T00:00:00"/>
        <d v="2024-01-22T00:00:00"/>
        <d v="2024-04-23T00:00:00"/>
        <d v="2025-02-17T00:00:00"/>
        <d v="2024-07-22T00:00:00"/>
        <d v="2024-11-13T00:00:00"/>
        <d v="2024-03-16T00:00:00"/>
        <d v="2024-03-15T00:00:00"/>
        <d v="2025-01-20T00:00:00"/>
        <d v="2024-05-16T00:00:00"/>
        <d v="2025-05-29T00:00:00"/>
        <d v="2024-01-04T00:00:00"/>
        <d v="2025-07-01T00:00:00"/>
        <d v="2024-10-04T00:00:00"/>
        <d v="2024-11-28T00:00:00"/>
        <d v="2024-01-21T00:00:00"/>
        <d v="2025-02-08T00:00:00"/>
        <d v="2025-06-11T00:00:00"/>
        <d v="2025-03-21T00:00:00"/>
        <d v="2025-04-01T00:00:00"/>
        <d v="2024-07-13T00:00:00"/>
        <d v="2024-06-16T00:00:00"/>
        <d v="2024-09-16T00:00:00"/>
        <d v="2024-05-10T00:00:00"/>
        <d v="2024-07-11T00:00:00"/>
        <d v="2024-09-12T00:00:00"/>
        <d v="2024-08-21T00:00:00"/>
        <d v="2024-07-19T00:00:00"/>
        <d v="2025-05-03T00:00:00"/>
        <d v="2024-04-14T00:00:00"/>
        <d v="2025-06-19T00:00:00"/>
        <d v="2024-10-14T00:00:00"/>
        <d v="2025-05-09T00:00:00"/>
        <d v="2024-01-17T00:00:00"/>
        <d v="2024-12-13T00:00:00"/>
        <d v="2025-04-12T00:00:00"/>
        <d v="2024-07-08T00:00:00"/>
        <d v="2024-06-08T00:00:00"/>
        <d v="2025-01-19T00:00:00"/>
        <d v="2024-11-30T00:00:00"/>
        <d v="2024-02-21T00:00:00"/>
        <d v="2024-08-09T00:00:00"/>
        <d v="2024-01-12T00:00:00"/>
        <d v="2024-06-15T00:00:00"/>
        <d v="2024-06-09T00:00:00"/>
        <d v="2024-10-10T00:00:00"/>
        <d v="2024-03-05T00:00:00"/>
        <d v="2024-03-14T00:00:00"/>
        <d v="2024-05-13T00:00:00"/>
        <d v="2024-01-01T00:00:00"/>
        <d v="2024-04-02T00:00:00"/>
        <d v="2025-05-06T00:00:00"/>
        <d v="2024-01-13T00:00:00"/>
        <d v="2024-03-25T00:00:00"/>
        <d v="2024-07-20T00:00:00"/>
        <d v="2024-10-01T00:00:00"/>
        <d v="2024-09-03T00:00:00"/>
        <d v="2024-02-08T00:00:00"/>
        <d v="2025-05-18T00:00:00"/>
        <d v="2025-02-20T00:00:00"/>
        <d v="2024-06-14T00:00:00"/>
        <d v="2024-03-17T00:00:00"/>
        <d v="2024-06-21T00:00:00"/>
        <d v="2025-04-18T00:00:00"/>
      </sharedItems>
      <fieldGroup par="16"/>
    </cacheField>
    <cacheField name="Content Type" numFmtId="0">
      <sharedItems count="3">
        <s v="Text"/>
        <s v="Story"/>
        <s v="Reel"/>
      </sharedItems>
    </cacheField>
    <cacheField name="Post Text" numFmtId="0">
      <sharedItems count="10">
        <s v="Explore the latest podcasts now."/>
        <s v="Music that moves youâ€”only on Spotify."/>
        <s v="Whatâ€™s your vibe today? #SpotifyHits"/>
        <s v="Discover fresh beats on Spotify!"/>
        <s v="Your weekend playlist is waiting."/>
        <s v="New music just dropped. Hit play!"/>
        <s v="Wrapped is here! Relive your top tracks ðŸŽ§"/>
        <s v="From pop to podcasts, itâ€™s all here."/>
        <s v="Get into the groove with our new drop!"/>
        <s v="Top trending tracks updated daily!"/>
      </sharedItems>
    </cacheField>
    <cacheField name="Likes" numFmtId="0">
      <sharedItems containsSemiMixedTypes="0" containsString="0" containsNumber="1" containsInteger="1" minValue="1010" maxValue="4995" count="290">
        <n v="1934"/>
        <n v="2748"/>
        <n v="3882"/>
        <n v="1971"/>
        <n v="3753"/>
        <n v="2607"/>
        <n v="2274"/>
        <n v="1341"/>
        <n v="1452"/>
        <n v="3806"/>
        <n v="2923"/>
        <n v="4851"/>
        <n v="2683"/>
        <n v="3135"/>
        <n v="1105"/>
        <n v="4674"/>
        <n v="1035"/>
        <n v="1488"/>
        <n v="3276"/>
        <n v="4218"/>
        <n v="1360"/>
        <n v="2464"/>
        <n v="4234"/>
        <n v="2102"/>
        <n v="1165"/>
        <n v="1100"/>
        <n v="3878"/>
        <n v="3004"/>
        <n v="4090"/>
        <n v="3253"/>
        <n v="4177"/>
        <n v="2266"/>
        <n v="2911"/>
        <n v="1456"/>
        <n v="1261"/>
        <n v="1564"/>
        <n v="1976"/>
        <n v="4283"/>
        <n v="2633"/>
        <n v="3890"/>
        <n v="3118"/>
        <n v="2525"/>
        <n v="4425"/>
        <n v="3086"/>
        <n v="4383"/>
        <n v="4294"/>
        <n v="3782"/>
        <n v="4318"/>
        <n v="4023"/>
        <n v="3948"/>
        <n v="4598"/>
        <n v="4823"/>
        <n v="2387"/>
        <n v="2191"/>
        <n v="3204"/>
        <n v="3987"/>
        <n v="3634"/>
        <n v="1424"/>
        <n v="2080"/>
        <n v="3792"/>
        <n v="1403"/>
        <n v="2659"/>
        <n v="2599"/>
        <n v="1765"/>
        <n v="1519"/>
        <n v="2569"/>
        <n v="1224"/>
        <n v="1432"/>
        <n v="4308"/>
        <n v="4653"/>
        <n v="1701"/>
        <n v="4310"/>
        <n v="2101"/>
        <n v="2519"/>
        <n v="4502"/>
        <n v="4774"/>
        <n v="4375"/>
        <n v="3529"/>
        <n v="1848"/>
        <n v="4676"/>
        <n v="1994"/>
        <n v="2972"/>
        <n v="2399"/>
        <n v="2471"/>
        <n v="2229"/>
        <n v="2110"/>
        <n v="4752"/>
        <n v="4197"/>
        <n v="1334"/>
        <n v="3359"/>
        <n v="2172"/>
        <n v="3418"/>
        <n v="1436"/>
        <n v="2901"/>
        <n v="2414"/>
        <n v="3173"/>
        <n v="4432"/>
        <n v="2357"/>
        <n v="1485"/>
        <n v="2460"/>
        <n v="3476"/>
        <n v="1514"/>
        <n v="4896"/>
        <n v="2824"/>
        <n v="2411"/>
        <n v="4036"/>
        <n v="1015"/>
        <n v="3615"/>
        <n v="4001"/>
        <n v="4891"/>
        <n v="4401"/>
        <n v="1828"/>
        <n v="4836"/>
        <n v="4811"/>
        <n v="2418"/>
        <n v="2284"/>
        <n v="4247"/>
        <n v="2965"/>
        <n v="2601"/>
        <n v="1984"/>
        <n v="3169"/>
        <n v="3036"/>
        <n v="1830"/>
        <n v="2878"/>
        <n v="4581"/>
        <n v="1333"/>
        <n v="1616"/>
        <n v="1803"/>
        <n v="2956"/>
        <n v="1902"/>
        <n v="4006"/>
        <n v="1583"/>
        <n v="3728"/>
        <n v="2754"/>
        <n v="2329"/>
        <n v="3563"/>
        <n v="2422"/>
        <n v="2762"/>
        <n v="3469"/>
        <n v="2605"/>
        <n v="1771"/>
        <n v="2033"/>
        <n v="4214"/>
        <n v="2169"/>
        <n v="3611"/>
        <n v="4673"/>
        <n v="1673"/>
        <n v="2752"/>
        <n v="3818"/>
        <n v="2478"/>
        <n v="2145"/>
        <n v="4782"/>
        <n v="4995"/>
        <n v="2691"/>
        <n v="2177"/>
        <n v="3194"/>
        <n v="4931"/>
        <n v="2088"/>
        <n v="2275"/>
        <n v="1883"/>
        <n v="4281"/>
        <n v="1678"/>
        <n v="1230"/>
        <n v="3451"/>
        <n v="3074"/>
        <n v="2319"/>
        <n v="1311"/>
        <n v="1516"/>
        <n v="3916"/>
        <n v="4563"/>
        <n v="2962"/>
        <n v="1558"/>
        <n v="1342"/>
        <n v="2335"/>
        <n v="3812"/>
        <n v="4902"/>
        <n v="2448"/>
        <n v="1205"/>
        <n v="1914"/>
        <n v="4918"/>
        <n v="2244"/>
        <n v="3092"/>
        <n v="1428"/>
        <n v="3956"/>
        <n v="4049"/>
        <n v="2707"/>
        <n v="2776"/>
        <n v="4929"/>
        <n v="3316"/>
        <n v="4095"/>
        <n v="4276"/>
        <n v="2613"/>
        <n v="2842"/>
        <n v="1959"/>
        <n v="4478"/>
        <n v="1316"/>
        <n v="1763"/>
        <n v="1554"/>
        <n v="2494"/>
        <n v="4845"/>
        <n v="1371"/>
        <n v="4796"/>
        <n v="3336"/>
        <n v="4628"/>
        <n v="2895"/>
        <n v="4969"/>
        <n v="2587"/>
        <n v="4619"/>
        <n v="2023"/>
        <n v="2134"/>
        <n v="1022"/>
        <n v="3277"/>
        <n v="3208"/>
        <n v="3219"/>
        <n v="2870"/>
        <n v="4965"/>
        <n v="1131"/>
        <n v="1856"/>
        <n v="4287"/>
        <n v="2383"/>
        <n v="2311"/>
        <n v="3805"/>
        <n v="4609"/>
        <n v="2665"/>
        <n v="3929"/>
        <n v="2408"/>
        <n v="4618"/>
        <n v="4422"/>
        <n v="2784"/>
        <n v="1079"/>
        <n v="1839"/>
        <n v="2340"/>
        <n v="3989"/>
        <n v="2857"/>
        <n v="3071"/>
        <n v="1010"/>
        <n v="1295"/>
        <n v="1433"/>
        <n v="4303"/>
        <n v="2778"/>
        <n v="2174"/>
        <n v="4984"/>
        <n v="4315"/>
        <n v="2267"/>
        <n v="3817"/>
        <n v="2981"/>
        <n v="3300"/>
        <n v="2291"/>
        <n v="2304"/>
        <n v="3413"/>
        <n v="1651"/>
        <n v="3341"/>
        <n v="4963"/>
        <n v="4341"/>
        <n v="1409"/>
        <n v="3029"/>
        <n v="3507"/>
        <n v="4471"/>
        <n v="2604"/>
        <n v="4877"/>
        <n v="3061"/>
        <n v="3393"/>
        <n v="2227"/>
        <n v="1751"/>
        <n v="2786"/>
        <n v="4013"/>
        <n v="3558"/>
        <n v="3361"/>
        <n v="4161"/>
        <n v="3437"/>
        <n v="1085"/>
        <n v="4781"/>
        <n v="1948"/>
        <n v="4955"/>
        <n v="3543"/>
        <n v="1437"/>
        <n v="1889"/>
        <n v="3414"/>
        <n v="2733"/>
        <n v="4210"/>
        <n v="4957"/>
        <n v="4221"/>
        <n v="1211"/>
        <n v="1060"/>
        <n v="4722"/>
        <n v="1453"/>
        <n v="2162"/>
        <n v="2692"/>
        <n v="4621"/>
        <n v="1265"/>
      </sharedItems>
    </cacheField>
    <cacheField name="Shares" numFmtId="0">
      <sharedItems containsSemiMixedTypes="0" containsString="0" containsNumber="1" containsInteger="1" minValue="100" maxValue="499" count="220">
        <n v="210"/>
        <n v="145"/>
        <n v="239"/>
        <n v="370"/>
        <n v="411"/>
        <n v="379"/>
        <n v="243"/>
        <n v="472"/>
        <n v="281"/>
        <n v="114"/>
        <n v="330"/>
        <n v="460"/>
        <n v="405"/>
        <n v="110"/>
        <n v="181"/>
        <n v="326"/>
        <n v="137"/>
        <n v="327"/>
        <n v="421"/>
        <n v="247"/>
        <n v="249"/>
        <n v="401"/>
        <n v="486"/>
        <n v="294"/>
        <n v="229"/>
        <n v="431"/>
        <n v="415"/>
        <n v="209"/>
        <n v="483"/>
        <n v="489"/>
        <n v="126"/>
        <n v="467"/>
        <n v="265"/>
        <n v="190"/>
        <n v="362"/>
        <n v="262"/>
        <n v="471"/>
        <n v="318"/>
        <n v="408"/>
        <n v="116"/>
        <n v="272"/>
        <n v="185"/>
        <n v="148"/>
        <n v="352"/>
        <n v="423"/>
        <n v="484"/>
        <n v="371"/>
        <n v="293"/>
        <n v="151"/>
        <n v="455"/>
        <n v="353"/>
        <n v="288"/>
        <n v="398"/>
        <n v="171"/>
        <n v="280"/>
        <n v="396"/>
        <n v="389"/>
        <n v="315"/>
        <n v="385"/>
        <n v="167"/>
        <n v="324"/>
        <n v="285"/>
        <n v="456"/>
        <n v="140"/>
        <n v="168"/>
        <n v="437"/>
        <n v="226"/>
        <n v="284"/>
        <n v="202"/>
        <n v="238"/>
        <n v="303"/>
        <n v="263"/>
        <n v="417"/>
        <n v="211"/>
        <n v="197"/>
        <n v="191"/>
        <n v="166"/>
        <n v="395"/>
        <n v="384"/>
        <n v="449"/>
        <n v="359"/>
        <n v="357"/>
        <n v="338"/>
        <n v="107"/>
        <n v="219"/>
        <n v="108"/>
        <n v="245"/>
        <n v="223"/>
        <n v="274"/>
        <n v="409"/>
        <n v="355"/>
        <n v="164"/>
        <n v="466"/>
        <n v="425"/>
        <n v="194"/>
        <n v="112"/>
        <n v="366"/>
        <n v="192"/>
        <n v="450"/>
        <n v="331"/>
        <n v="473"/>
        <n v="161"/>
        <n v="187"/>
        <n v="390"/>
        <n v="328"/>
        <n v="336"/>
        <n v="481"/>
        <n v="386"/>
        <n v="286"/>
        <n v="360"/>
        <n v="273"/>
        <n v="381"/>
        <n v="394"/>
        <n v="420"/>
        <n v="433"/>
        <n v="271"/>
        <n v="215"/>
        <n v="373"/>
        <n v="339"/>
        <n v="278"/>
        <n v="282"/>
        <n v="487"/>
        <n v="240"/>
        <n v="127"/>
        <n v="270"/>
        <n v="309"/>
        <n v="115"/>
        <n v="427"/>
        <n v="340"/>
        <n v="231"/>
        <n v="258"/>
        <n v="292"/>
        <n v="469"/>
        <n v="490"/>
        <n v="432"/>
        <n v="101"/>
        <n v="363"/>
        <n v="459"/>
        <n v="400"/>
        <n v="332"/>
        <n v="220"/>
        <n v="150"/>
        <n v="321"/>
        <n v="422"/>
        <n v="464"/>
        <n v="255"/>
        <n v="440"/>
        <n v="392"/>
        <n v="177"/>
        <n v="347"/>
        <n v="319"/>
        <n v="377"/>
        <n v="103"/>
        <n v="188"/>
        <n v="307"/>
        <n v="182"/>
        <n v="227"/>
        <n v="213"/>
        <n v="316"/>
        <n v="206"/>
        <n v="494"/>
        <n v="158"/>
        <n v="139"/>
        <n v="496"/>
        <n v="257"/>
        <n v="447"/>
        <n v="124"/>
        <n v="322"/>
        <n v="463"/>
        <n v="476"/>
        <n v="424"/>
        <n v="380"/>
        <n v="175"/>
        <n v="100"/>
        <n v="136"/>
        <n v="334"/>
        <n v="207"/>
        <n v="453"/>
        <n v="143"/>
        <n v="275"/>
        <n v="323"/>
        <n v="312"/>
        <n v="434"/>
        <n v="111"/>
        <n v="179"/>
        <n v="141"/>
        <n v="443"/>
        <n v="361"/>
        <n v="153"/>
        <n v="452"/>
        <n v="306"/>
        <n v="241"/>
        <n v="499"/>
        <n v="300"/>
        <n v="208"/>
        <n v="230"/>
        <n v="354"/>
        <n v="146"/>
        <n v="289"/>
        <n v="480"/>
        <n v="154"/>
        <n v="295"/>
        <n v="317"/>
        <n v="439"/>
        <n v="442"/>
        <n v="320"/>
        <n v="104"/>
        <n v="368"/>
        <n v="314"/>
        <n v="129"/>
        <n v="488"/>
        <n v="155"/>
        <n v="342"/>
        <n v="299"/>
        <n v="298"/>
        <n v="297"/>
        <n v="310"/>
        <n v="156"/>
        <n v="446"/>
        <n v="374"/>
      </sharedItems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 count="165">
        <n v="273"/>
        <n v="200"/>
        <n v="149"/>
        <n v="88"/>
        <n v="90"/>
        <n v="174"/>
        <n v="80"/>
        <n v="133"/>
        <n v="290"/>
        <n v="201"/>
        <n v="92"/>
        <n v="239"/>
        <n v="291"/>
        <n v="177"/>
        <n v="220"/>
        <n v="116"/>
        <n v="237"/>
        <n v="109"/>
        <n v="221"/>
        <n v="135"/>
        <n v="193"/>
        <n v="207"/>
        <n v="184"/>
        <n v="182"/>
        <n v="111"/>
        <n v="169"/>
        <n v="191"/>
        <n v="181"/>
        <n v="102"/>
        <n v="131"/>
        <n v="251"/>
        <n v="277"/>
        <n v="236"/>
        <n v="145"/>
        <n v="205"/>
        <n v="139"/>
        <n v="105"/>
        <n v="245"/>
        <n v="286"/>
        <n v="272"/>
        <n v="158"/>
        <n v="275"/>
        <n v="288"/>
        <n v="298"/>
        <n v="175"/>
        <n v="259"/>
        <n v="278"/>
        <n v="230"/>
        <n v="269"/>
        <n v="178"/>
        <n v="208"/>
        <n v="281"/>
        <n v="168"/>
        <n v="213"/>
        <n v="117"/>
        <n v="293"/>
        <n v="186"/>
        <n v="176"/>
        <n v="255"/>
        <n v="271"/>
        <n v="197"/>
        <n v="294"/>
        <n v="257"/>
        <n v="246"/>
        <n v="172"/>
        <n v="297"/>
        <n v="159"/>
        <n v="96"/>
        <n v="262"/>
        <n v="248"/>
        <n v="160"/>
        <n v="190"/>
        <n v="173"/>
        <n v="126"/>
        <n v="195"/>
        <n v="234"/>
        <n v="295"/>
        <n v="228"/>
        <n v="198"/>
        <n v="156"/>
        <n v="155"/>
        <n v="147"/>
        <n v="171"/>
        <n v="284"/>
        <n v="86"/>
        <n v="264"/>
        <n v="179"/>
        <n v="83"/>
        <n v="84"/>
        <n v="268"/>
        <n v="279"/>
        <n v="287"/>
        <n v="125"/>
        <n v="154"/>
        <n v="148"/>
        <n v="227"/>
        <n v="107"/>
        <n v="157"/>
        <n v="122"/>
        <n v="120"/>
        <n v="258"/>
        <n v="218"/>
        <n v="282"/>
        <n v="263"/>
        <n v="164"/>
        <n v="170"/>
        <n v="141"/>
        <n v="196"/>
        <n v="199"/>
        <n v="289"/>
        <n v="82"/>
        <n v="100"/>
        <n v="121"/>
        <n v="150"/>
        <n v="112"/>
        <n v="241"/>
        <n v="232"/>
        <n v="103"/>
        <n v="214"/>
        <n v="104"/>
        <n v="276"/>
        <n v="143"/>
        <n v="163"/>
        <n v="270"/>
        <n v="235"/>
        <n v="211"/>
        <n v="219"/>
        <n v="161"/>
        <n v="165"/>
        <n v="212"/>
        <n v="202"/>
        <n v="138"/>
        <n v="265"/>
        <n v="261"/>
        <n v="87"/>
        <n v="101"/>
        <n v="180"/>
        <n v="98"/>
        <n v="114"/>
        <n v="132"/>
        <n v="91"/>
        <n v="299"/>
        <n v="113"/>
        <n v="224"/>
        <n v="127"/>
        <n v="296"/>
        <n v="216"/>
        <n v="85"/>
        <n v="222"/>
        <n v="118"/>
        <n v="130"/>
        <n v="146"/>
        <n v="128"/>
        <n v="210"/>
        <n v="240"/>
        <n v="95"/>
        <n v="206"/>
        <n v="215"/>
        <n v="267"/>
        <n v="194"/>
        <n v="256"/>
        <n v="204"/>
        <n v="225"/>
        <n v="185"/>
        <n v="106"/>
      </sharedItems>
    </cacheField>
    <cacheField name="Engagement rate" numFmtId="10">
      <sharedItems containsSemiMixedTypes="0" containsString="0" containsNumber="1" minValue="2.50275284149232E-2" maxValue="0.26064752360763199" count="300">
        <n v="8.7095334546328396E-2"/>
        <n v="0.13147002172042099"/>
        <n v="7.4828079253761795E-2"/>
        <n v="8.4525482181632403E-2"/>
        <n v="0.15347655981879299"/>
        <n v="0.11026748397882399"/>
        <n v="6.3600055728416802E-2"/>
        <n v="3.9913595142645898E-2"/>
        <n v="3.9937155714174902E-2"/>
        <n v="0.116133672678986"/>
        <n v="0.146000916934106"/>
        <n v="9.5101162290141997E-2"/>
        <n v="0.106009669260077"/>
        <n v="8.82833231271688E-2"/>
        <n v="2.50275284149232E-2"/>
        <n v="0.111245412390392"/>
        <n v="3.6351938233874899E-2"/>
        <n v="3.5777344113000598E-2"/>
        <n v="0.18517978620019401"/>
        <n v="0.16075257660648801"/>
        <n v="8.1549489395129598E-2"/>
        <n v="7.6115349799560306E-2"/>
        <n v="8.8232696960599002E-2"/>
        <n v="5.9312714776632303E-2"/>
        <n v="7.8512996756861395E-2"/>
        <n v="6.3999063999063993E-2"/>
        <n v="0.10550008380624"/>
        <n v="0.100775838182322"/>
        <n v="8.6598679355949504E-2"/>
        <n v="0.160333897704453"/>
        <n v="8.6978468608031198E-2"/>
        <n v="4.7099090384865802E-2"/>
        <n v="5.8764788517847798E-2"/>
        <n v="3.4738711788351903E-2"/>
        <n v="2.8119155757413802E-2"/>
        <n v="5.4592988710635802E-2"/>
        <n v="4.7508511296812099E-2"/>
        <n v="9.2634518149573603E-2"/>
        <n v="8.1504318676747706E-2"/>
        <n v="8.1341895638137401E-2"/>
        <n v="9.2425876010781699E-2"/>
        <n v="5.9585542168674697E-2"/>
        <n v="0.19390491670052801"/>
        <n v="0.155275148966001"/>
        <n v="9.2244407295403799E-2"/>
        <n v="0.16125787850341999"/>
        <n v="8.4528099363643305E-2"/>
        <n v="0.155130305747055"/>
        <n v="0.164470983392424"/>
        <n v="0.100771780193293"/>
        <n v="0.102564586795588"/>
        <n v="0.172898059747459"/>
        <n v="7.0902000251603994E-2"/>
        <n v="4.2982250109049401E-2"/>
        <n v="0.16743869209809301"/>
        <n v="9.8222596516111899E-2"/>
        <n v="0.107139308426073"/>
        <n v="3.5821698002251497E-2"/>
        <n v="8.26902586290401E-2"/>
        <n v="7.7428927315357596E-2"/>
        <n v="3.9319108127547402E-2"/>
        <n v="0.12555218709398"/>
        <n v="8.2744836775482999E-2"/>
        <n v="5.2041730205988401E-2"/>
        <n v="4.5610431884675798E-2"/>
        <n v="8.0371103929948895E-2"/>
        <n v="2.9336922849977898E-2"/>
        <n v="5.2566815966924203E-2"/>
        <n v="0.124069814639426"/>
        <n v="9.1919262958013906E-2"/>
        <n v="4.9646286003031802E-2"/>
        <n v="0.109850692731919"/>
        <n v="6.4655069273288499E-2"/>
        <n v="8.1666436749896598E-2"/>
        <n v="0.130771978162151"/>
        <n v="0.105471287204371"/>
        <n v="8.6517714206166899E-2"/>
        <n v="0.14674444862627001"/>
        <n v="4.42588076583822E-2"/>
        <n v="0.107628982729708"/>
        <n v="5.0121212121212101E-2"/>
        <n v="6.8477000386548095E-2"/>
        <n v="5.4473577117609397E-2"/>
        <n v="6.1279893894806599E-2"/>
        <n v="5.1861351697967399E-2"/>
        <n v="5.46382467727409E-2"/>
        <n v="9.4139757389372997E-2"/>
        <n v="8.6283185840708002E-2"/>
        <n v="3.42294851519944E-2"/>
        <n v="0.114674699506807"/>
        <n v="8.4548582664263502E-2"/>
        <n v="0.15655953525306099"/>
        <n v="3.2211735740664799E-2"/>
        <n v="5.9775576027966099E-2"/>
        <n v="0.13200509890939999"/>
        <n v="0.12157140926901799"/>
        <n v="8.3943337400027102E-2"/>
        <n v="0.129973105814708"/>
        <n v="5.4191936281527402E-2"/>
        <n v="8.5063484278785906E-2"/>
        <n v="0.11274405206444001"/>
        <n v="4.72149695387293E-2"/>
        <n v="0.19548583208133899"/>
        <n v="0.11363049929041399"/>
        <n v="0.103993999624977"/>
        <n v="8.0484684812735394E-2"/>
        <n v="4.4299315445747098E-2"/>
        <n v="0.14436927106067199"/>
        <n v="0.10863928268508399"/>
        <n v="0.11750707750379499"/>
        <n v="0.20241060666934499"/>
        <n v="4.7817327065144397E-2"/>
        <n v="9.0267383317458205E-2"/>
        <n v="0.106573781848972"/>
        <n v="9.6080290300434801E-2"/>
        <n v="7.3021390374331599E-2"/>
        <n v="0.16283364109451101"/>
        <n v="6.0050273034584399E-2"/>
        <n v="9.8770390509144795E-2"/>
        <n v="6.9344411395983394E-2"/>
        <n v="8.2866791077934807E-2"/>
        <n v="0.144851951547779"/>
        <n v="6.6614370881706894E-2"/>
        <n v="6.2084853138798198E-2"/>
        <n v="0.13838335084182701"/>
        <n v="5.2993862995521598E-2"/>
        <n v="3.9674653122814797E-2"/>
        <n v="5.1173769923769902E-2"/>
        <n v="0.110414729960716"/>
        <n v="0.104611009547024"/>
        <n v="9.2466575934673001E-2"/>
        <n v="7.4861184558434699E-2"/>
        <n v="0.18723441538528901"/>
        <n v="0.116454145954902"/>
        <n v="6.0370736430199502E-2"/>
        <n v="0.10400389436533999"/>
        <n v="0.112581737965808"/>
        <n v="0.101430814349616"/>
        <n v="8.4227733207149505E-2"/>
        <n v="7.2213401079707806E-2"/>
        <n v="9.4251731312692197E-2"/>
        <n v="5.1833640647408301E-2"/>
        <n v="4.5247823769763697E-2"/>
        <n v="9.7836889180217004E-2"/>
        <n v="9.4450189589796604E-2"/>
        <n v="8.6602037169406704E-2"/>
        <n v="0.11126822801590799"/>
        <n v="6.76784936509532E-2"/>
        <n v="8.0741841282852597E-2"/>
        <n v="0.16790703227603801"/>
        <n v="5.3094209744904801E-2"/>
        <n v="4.8196838137389099E-2"/>
        <n v="0.17799483100057101"/>
        <n v="0.154511922395516"/>
        <n v="6.6160796354604604E-2"/>
        <n v="5.7682545054573202E-2"/>
        <n v="6.6186514342481101E-2"/>
        <n v="9.8640235621946695E-2"/>
        <n v="5.8052595393606E-2"/>
        <n v="6.1064362065044397E-2"/>
        <n v="9.43009144963316E-2"/>
        <n v="0.140807980667947"/>
        <n v="4.3543867212761399E-2"/>
        <n v="3.9122543637545103E-2"/>
        <n v="9.3795286825853405E-2"/>
        <n v="0.15735977431131801"/>
        <n v="0.138850947584087"/>
        <n v="0.14130742382794101"/>
        <n v="4.9881554861634501E-2"/>
        <n v="3.4977365592309399E-2"/>
        <n v="9.3980281287635997E-2"/>
        <n v="0.11731037798484401"/>
        <n v="6.9360859297630806E-2"/>
        <n v="8.3133241487896095E-2"/>
        <n v="3.5523669554455399E-2"/>
        <n v="0.106525315298848"/>
        <n v="9.8031707130274995E-2"/>
        <n v="7.3899528727564404E-2"/>
        <n v="0.17995832544042401"/>
        <n v="0.116952247736721"/>
        <n v="8.3972409065592696E-2"/>
        <n v="8.4056399132321005E-2"/>
        <n v="0.103380953274888"/>
        <n v="0.110977781218549"/>
        <n v="7.0477352576105004E-2"/>
        <n v="0.26064752360763199"/>
        <n v="8.7100435029317205E-2"/>
        <n v="7.4550393727863595E-2"/>
        <n v="9.3810966751068897E-2"/>
        <n v="5.1734114498571501E-2"/>
        <n v="6.9526910553533799E-2"/>
        <n v="7.5198893116568605E-2"/>
        <n v="0.16177247444144099"/>
        <n v="9.7668038408779106E-2"/>
        <n v="0.107726269315673"/>
        <n v="0.108786225628985"/>
        <n v="0.15227535227535199"/>
        <n v="5.8723551855705901E-2"/>
        <n v="4.3619068768968802E-2"/>
        <n v="9.2093661212893099E-2"/>
        <n v="4.6406515707509199E-2"/>
        <n v="4.04184320047992E-2"/>
        <n v="5.1660428636136103E-2"/>
        <n v="0.134765279007972"/>
        <n v="0.14711666377465399"/>
        <n v="4.4438295517432197E-2"/>
        <n v="6.1158416768035899E-2"/>
        <n v="0.18086628511966699"/>
        <n v="0.17642537414658399"/>
        <n v="0.14397862944992601"/>
        <n v="0.13528464682326699"/>
        <n v="9.4690354648038697E-2"/>
        <n v="8.8705674736668003E-2"/>
        <n v="0.23193025217961899"/>
        <n v="4.1192869195216801E-2"/>
        <n v="5.7963823356939899E-2"/>
        <n v="3.5847516903707202E-2"/>
        <n v="8.5455879813503693E-2"/>
        <n v="7.0641318305036394E-2"/>
        <n v="7.9993453221219799E-2"/>
        <n v="9.6834214933149004E-2"/>
        <n v="0.16610252187966901"/>
        <n v="2.78093193220059E-2"/>
        <n v="8.7025961669158602E-2"/>
        <n v="0.114777407334772"/>
        <n v="7.1988159338556207E-2"/>
        <n v="0.107087073328196"/>
        <n v="9.4928992718046695E-2"/>
        <n v="8.2469701307376603E-2"/>
        <n v="0.16116683482699301"/>
        <n v="5.6980732739746E-2"/>
        <n v="7.7731488624869297E-2"/>
        <n v="6.2648374965860607E-2"/>
        <n v="0.229675246998361"/>
        <n v="8.9237069349238807E-2"/>
        <n v="5.6436966727204198E-2"/>
        <n v="3.5034029141734799E-2"/>
        <n v="0.139462277590858"/>
        <n v="6.2974139146620006E-2"/>
        <n v="0.107842350296998"/>
        <n v="7.9782521843353202E-2"/>
        <n v="7.1022341272151998E-2"/>
        <n v="7.7181741758116901E-2"/>
        <n v="3.4110398272248002E-2"/>
        <n v="3.1623578076525299E-2"/>
        <n v="4.0153279184466699E-2"/>
        <n v="0.12409349336702501"/>
        <n v="0.127100240027432"/>
        <n v="5.2513742764570999E-2"/>
        <n v="0.17088145896656501"/>
        <n v="0.13404136389044199"/>
        <n v="9.8193807339449601E-2"/>
        <n v="9.2712236723090799E-2"/>
        <n v="0.164772452483436"/>
        <n v="7.1354340971940905E-2"/>
        <n v="5.7503193495407397E-2"/>
        <n v="5.2312660271630701E-2"/>
        <n v="8.5608773500447599E-2"/>
        <n v="7.5077784691972599E-2"/>
        <n v="8.3423643616408E-2"/>
        <n v="0.121907808768531"/>
        <n v="9.0752980172121203E-2"/>
        <n v="3.3603177027646203E-2"/>
        <n v="0.14843585975225701"/>
        <n v="0.20445859872611499"/>
        <n v="0.11227765146449099"/>
        <n v="5.4576862557296303E-2"/>
        <n v="0.10546200140489401"/>
        <n v="0.12976726726726701"/>
        <n v="0.11910074937552"/>
        <n v="5.5797564422760397E-2"/>
        <n v="6.4255640042732404E-2"/>
        <n v="8.0047619047619006E-2"/>
        <n v="8.1036535115831906E-2"/>
        <n v="8.2056760461178699E-2"/>
        <n v="9.8072192379135503E-2"/>
        <n v="0.102497602650161"/>
        <n v="8.8087436599488297E-2"/>
        <n v="0.17658969920637499"/>
        <n v="5.2042268944371403E-2"/>
        <n v="0.143351625158295"/>
        <n v="7.9746710200850904E-2"/>
        <n v="0.109499654687909"/>
        <n v="0.16641897515158699"/>
        <n v="7.0594928198320903E-2"/>
        <n v="3.8832755240536899E-2"/>
        <n v="4.9951325040562503E-2"/>
        <n v="0.11046681895390401"/>
        <n v="8.5966298051606105E-2"/>
        <n v="0.12920396165457301"/>
        <n v="0.113498241834184"/>
        <n v="0.101730257320319"/>
        <n v="6.5015829941203099E-2"/>
        <n v="3.1839004091338302E-2"/>
        <n v="0.19261223173659101"/>
        <n v="3.3729709324273299E-2"/>
        <n v="5.4859907104176001E-2"/>
        <n v="7.3202671439172404E-2"/>
        <n v="9.2893873181347494E-2"/>
        <n v="4.4999031758326903E-2"/>
      </sharedItems>
    </cacheField>
    <cacheField name="Hashtags Used" numFmtId="0">
      <sharedItems count="8">
        <s v="#DiscoverWeekly"/>
        <s v="#DiscoverWeekly,#SpotifyWrapped"/>
        <s v="#SoundtrackOfLife"/>
        <s v="#SoundtrackOfLife,#NowPlaying"/>
        <s v="#NowPlaying"/>
        <s v="#MusicForEveryone,#NowPlaying"/>
        <s v="#DiscoverWeekly,#MusicForEveryone"/>
        <s v="#DiscoverWeekly,#SoundtrackOfLife"/>
      </sharedItems>
    </cacheField>
    <cacheField name="Campaign_Name" numFmtId="0">
      <sharedItems count="4">
        <s v="IndieWave"/>
        <s v="ChillVibes"/>
        <s v="Wrapped2024"/>
        <s v="SummerBeats"/>
      </sharedItems>
    </cacheField>
    <cacheField name="Months (Date)" numFmtId="0" databaseField="0">
      <fieldGroup base="2">
        <rangePr groupBy="months" startDate="2024-01-01T00:00:00" endDate="2025-07-02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7-2025"/>
        </groupItems>
      </fieldGroup>
    </cacheField>
    <cacheField name="Quarters (Date)" numFmtId="0" databaseField="0">
      <fieldGroup base="2">
        <rangePr groupBy="quarters" startDate="2024-01-01T00:00:00" endDate="2025-07-02T00:00:00"/>
        <groupItems count="6">
          <s v="&lt;01-01-2024"/>
          <s v="Qtr1"/>
          <s v="Qtr2"/>
          <s v="Qtr3"/>
          <s v="Qtr4"/>
          <s v="&gt;02-07-2025"/>
        </groupItems>
      </fieldGroup>
    </cacheField>
    <cacheField name="Years (Date)" numFmtId="0" databaseField="0">
      <fieldGroup base="2">
        <rangePr groupBy="years" startDate="2024-01-01T00:00:00" endDate="2025-07-02T00:00:00"/>
        <groupItems count="4">
          <s v="&lt;01-01-2024"/>
          <s v="2024"/>
          <s v="2025"/>
          <s v="&gt;02-07-2025"/>
        </groupItems>
      </fieldGroup>
    </cacheField>
  </cacheFields>
  <extLst>
    <ext xmlns:x14="http://schemas.microsoft.com/office/spreadsheetml/2009/9/main" uri="{725AE2AE-9491-48be-B2B4-4EB974FC3084}">
      <x14:pivotCacheDefinition pivotCacheId="1121693878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2.230734490739" createdVersion="8" refreshedVersion="8" minRefreshableVersion="3" recordCount="201" xr:uid="{EE99CB5A-0AC2-4505-976C-8F2EAE723800}">
  <cacheSource type="worksheet">
    <worksheetSource ref="A1:G1048576" sheet="Engagement Summary (PQ)"/>
  </cacheSource>
  <cacheFields count="8">
    <cacheField name="Week_Start_Date" numFmtId="0">
      <sharedItems containsNonDate="0" containsDate="1" containsString="0" containsBlank="1" minDate="2024-06-03T00:00:00" maxDate="2025-09-09T00:00:00" count="68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  <m/>
      </sharedItems>
      <fieldGroup par="7"/>
    </cacheField>
    <cacheField name="Platform" numFmtId="0">
      <sharedItems containsBlank="1" count="4">
        <s v="Instagram"/>
        <s v="Twitter"/>
        <s v="YouTube"/>
        <m/>
      </sharedItems>
    </cacheField>
    <cacheField name="New_Followers" numFmtId="0">
      <sharedItems containsString="0" containsBlank="1" containsNumber="1" containsInteger="1" minValue="503" maxValue="1490" count="181">
        <n v="1402"/>
        <n v="995"/>
        <n v="1472"/>
        <n v="1018"/>
        <n v="1461"/>
        <n v="545"/>
        <n v="881"/>
        <n v="1414"/>
        <n v="809"/>
        <n v="1371"/>
        <n v="844"/>
        <n v="786"/>
        <n v="845"/>
        <n v="1218"/>
        <n v="797"/>
        <n v="1471"/>
        <n v="1253"/>
        <n v="616"/>
        <n v="1308"/>
        <n v="981"/>
        <n v="866"/>
        <n v="547"/>
        <n v="1241"/>
        <n v="973"/>
        <n v="611"/>
        <n v="983"/>
        <n v="1449"/>
        <n v="752"/>
        <n v="937"/>
        <n v="1060"/>
        <n v="1456"/>
        <n v="1109"/>
        <n v="1002"/>
        <n v="571"/>
        <n v="1240"/>
        <n v="1154"/>
        <n v="537"/>
        <n v="721"/>
        <n v="1098"/>
        <n v="1096"/>
        <n v="912"/>
        <n v="1430"/>
        <n v="854"/>
        <n v="681"/>
        <n v="1373"/>
        <n v="685"/>
        <n v="1290"/>
        <n v="1437"/>
        <n v="769"/>
        <n v="1416"/>
        <n v="998"/>
        <n v="1421"/>
        <n v="764"/>
        <n v="678"/>
        <n v="1328"/>
        <n v="1161"/>
        <n v="588"/>
        <n v="1457"/>
        <n v="1190"/>
        <n v="886"/>
        <n v="1237"/>
        <n v="1435"/>
        <n v="746"/>
        <n v="759"/>
        <n v="1463"/>
        <n v="1208"/>
        <n v="1391"/>
        <n v="655"/>
        <n v="1148"/>
        <n v="946"/>
        <n v="791"/>
        <n v="793"/>
        <n v="663"/>
        <n v="954"/>
        <n v="1313"/>
        <n v="895"/>
        <n v="1027"/>
        <n v="990"/>
        <n v="875"/>
        <n v="599"/>
        <n v="630"/>
        <n v="1350"/>
        <n v="632"/>
        <n v="1182"/>
        <n v="661"/>
        <n v="1360"/>
        <n v="935"/>
        <n v="664"/>
        <n v="1490"/>
        <n v="601"/>
        <n v="613"/>
        <n v="1340"/>
        <n v="953"/>
        <n v="532"/>
        <n v="841"/>
        <n v="1105"/>
        <n v="566"/>
        <n v="1149"/>
        <n v="819"/>
        <n v="795"/>
        <n v="534"/>
        <n v="1066"/>
        <n v="1270"/>
        <n v="536"/>
        <n v="646"/>
        <n v="645"/>
        <n v="978"/>
        <n v="1444"/>
        <n v="1234"/>
        <n v="665"/>
        <n v="631"/>
        <n v="1159"/>
        <n v="950"/>
        <n v="693"/>
        <n v="576"/>
        <n v="1274"/>
        <n v="818"/>
        <n v="975"/>
        <n v="1398"/>
        <n v="591"/>
        <n v="1232"/>
        <n v="1425"/>
        <n v="1417"/>
        <n v="1222"/>
        <n v="1071"/>
        <n v="772"/>
        <n v="585"/>
        <n v="747"/>
        <n v="1113"/>
        <n v="1100"/>
        <n v="751"/>
        <n v="864"/>
        <n v="1146"/>
        <n v="883"/>
        <n v="622"/>
        <n v="837"/>
        <n v="544"/>
        <n v="624"/>
        <n v="1073"/>
        <n v="1358"/>
        <n v="1242"/>
        <n v="1389"/>
        <n v="826"/>
        <n v="618"/>
        <n v="1419"/>
        <n v="637"/>
        <n v="917"/>
        <n v="810"/>
        <n v="1183"/>
        <n v="765"/>
        <n v="540"/>
        <n v="1145"/>
        <n v="564"/>
        <n v="668"/>
        <n v="761"/>
        <n v="593"/>
        <n v="1349"/>
        <n v="974"/>
        <n v="1155"/>
        <n v="1051"/>
        <n v="670"/>
        <n v="1111"/>
        <n v="1197"/>
        <n v="754"/>
        <n v="1246"/>
        <n v="780"/>
        <n v="949"/>
        <n v="640"/>
        <n v="1080"/>
        <n v="938"/>
        <n v="1007"/>
        <n v="541"/>
        <n v="745"/>
        <n v="936"/>
        <n v="1413"/>
        <n v="1052"/>
        <n v="572"/>
        <n v="503"/>
        <n v="1017"/>
        <n v="860"/>
        <m/>
      </sharedItems>
    </cacheField>
    <cacheField name="Unfollows" numFmtId="0">
      <sharedItems containsString="0" containsBlank="1" containsNumber="1" containsInteger="1" minValue="50" maxValue="296"/>
    </cacheField>
    <cacheField name="Total_Followers" numFmtId="0">
      <sharedItems containsString="0" containsBlank="1" containsNumber="1" containsInteger="1" minValue="61445" maxValue="397607"/>
    </cacheField>
    <cacheField name="Engagement_Rate" numFmtId="0">
      <sharedItems containsString="0" containsBlank="1" containsNumber="1" minValue="3.08" maxValue="9.99"/>
    </cacheField>
    <cacheField name="Ad_Spend" numFmtId="0">
      <sharedItems containsString="0" containsBlank="1" containsNumber="1" containsInteger="1" minValue="5281" maxValue="27829"/>
    </cacheField>
    <cacheField name="Days (Week_Start_Date)" numFmtId="0" databaseField="0">
      <fieldGroup base="0">
        <rangePr groupBy="days" startDate="2024-06-03T00:00:00" endDate="2025-09-09T00:00:00" groupInterval="7"/>
        <groupItems count="69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8-05-2025"/>
          <s v="19-05-2025 - 25-05-2025"/>
          <s v="26-05-2025 - 01-06-2025"/>
          <s v="02-06-2025 - 08-06-2025"/>
          <s v="09-06-2025 - 15-06-2025"/>
          <s v="16-06-2025 - 22-06-2025"/>
          <s v="23-06-2025 - 29-06-2025"/>
          <s v="30-06-2025 - 06-07-2025"/>
          <s v="07-07-2025 - 13-07-2025"/>
          <s v="14-07-2025 - 20-07-2025"/>
          <s v="21-07-2025 - 27-07-2025"/>
          <s v="28-07-2025 - 03-08-2025"/>
          <s v="04-08-2025 - 10-08-2025"/>
          <s v="11-08-2025 - 17-08-2025"/>
          <s v="18-08-2025 - 24-08-2025"/>
          <s v="25-08-2025 - 31-08-2025"/>
          <s v="01-09-2025 - 07-09-2025"/>
          <s v="08-09-2025 - 09-09-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 pivotCacheId="439319559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2.244794675928" createdVersion="8" refreshedVersion="8" minRefreshableVersion="3" recordCount="200" xr:uid="{79A2103B-895A-4280-BC9C-86EE78D6B694}">
  <cacheSource type="worksheet">
    <worksheetSource name="Engagement_Summary"/>
  </cacheSource>
  <cacheFields count="7">
    <cacheField name="Week_Start_Date" numFmtId="14">
      <sharedItems containsSemiMixedTypes="0" containsNonDate="0" containsDate="1" containsString="0" minDate="2024-06-03T00:00:00" maxDate="2025-09-09T00:00:00"/>
    </cacheField>
    <cacheField name="Platform" numFmtId="0">
      <sharedItems count="3">
        <s v="Instagram"/>
        <s v="Twitter"/>
        <s v="YouTube"/>
      </sharedItems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 count="178">
        <n v="9.92"/>
        <n v="8.0500000000000007"/>
        <n v="7.72"/>
        <n v="9.4"/>
        <n v="9.02"/>
        <n v="9.9600000000000009"/>
        <n v="5.29"/>
        <n v="8.3000000000000007"/>
        <n v="4.66"/>
        <n v="9.48"/>
        <n v="7.11"/>
        <n v="9.65"/>
        <n v="5.43"/>
        <n v="4.5199999999999996"/>
        <n v="4.33"/>
        <n v="8.52"/>
        <n v="8.5500000000000007"/>
        <n v="7.99"/>
        <n v="6.31"/>
        <n v="8.5299999999999994"/>
        <n v="8.42"/>
        <n v="9.34"/>
        <n v="5.65"/>
        <n v="4.2"/>
        <n v="3.87"/>
        <n v="5.82"/>
        <n v="3.55"/>
        <n v="8.17"/>
        <n v="5.3"/>
        <n v="5.98"/>
        <n v="7.49"/>
        <n v="9.3800000000000008"/>
        <n v="5.84"/>
        <n v="5.41"/>
        <n v="6.05"/>
        <n v="7.54"/>
        <n v="5.87"/>
        <n v="7.17"/>
        <n v="7.51"/>
        <n v="7.66"/>
        <n v="6.03"/>
        <n v="3.4"/>
        <n v="7.83"/>
        <n v="8.76"/>
        <n v="9.52"/>
        <n v="3.36"/>
        <n v="9.2200000000000006"/>
        <n v="5.57"/>
        <n v="8.06"/>
        <n v="3.45"/>
        <n v="9.58"/>
        <n v="8.8800000000000008"/>
        <n v="6.23"/>
        <n v="8.4499999999999993"/>
        <n v="8.4"/>
        <n v="7.34"/>
        <n v="8.14"/>
        <n v="8.19"/>
        <n v="4.4800000000000004"/>
        <n v="5.42"/>
        <n v="4.08"/>
        <n v="4.0599999999999996"/>
        <n v="9.91"/>
        <n v="8.7200000000000006"/>
        <n v="8.3800000000000008"/>
        <n v="7.56"/>
        <n v="7.24"/>
        <n v="4.53"/>
        <n v="6.62"/>
        <n v="6.36"/>
        <n v="9"/>
        <n v="8.83"/>
        <n v="9.7100000000000009"/>
        <n v="6.68"/>
        <n v="5.51"/>
        <n v="7.97"/>
        <n v="9.18"/>
        <n v="6.44"/>
        <n v="5.0199999999999996"/>
        <n v="9.17"/>
        <n v="3.27"/>
        <n v="5.31"/>
        <n v="8.89"/>
        <n v="4.79"/>
        <n v="4.8"/>
        <n v="4.07"/>
        <n v="6.06"/>
        <n v="7.79"/>
        <n v="9.0500000000000007"/>
        <n v="3.5"/>
        <n v="6.26"/>
        <n v="3.33"/>
        <n v="9.15"/>
        <n v="9.82"/>
        <n v="3.7"/>
        <n v="3.35"/>
        <n v="7.31"/>
        <n v="3.13"/>
        <n v="4.8899999999999997"/>
        <n v="8.6300000000000008"/>
        <n v="8.0299999999999994"/>
        <n v="7.85"/>
        <n v="6.12"/>
        <n v="7.16"/>
        <n v="7.04"/>
        <n v="3.71"/>
        <n v="4.12"/>
        <n v="6.82"/>
        <n v="8.2200000000000006"/>
        <n v="7.71"/>
        <n v="7.39"/>
        <n v="7.89"/>
        <n v="6.39"/>
        <n v="6.77"/>
        <n v="3.41"/>
        <n v="4.1100000000000003"/>
        <n v="3.39"/>
        <n v="5.09"/>
        <n v="6.67"/>
        <n v="6.13"/>
        <n v="6.87"/>
        <n v="3.52"/>
        <n v="6.96"/>
        <n v="7.23"/>
        <n v="7.42"/>
        <n v="7.73"/>
        <n v="5.13"/>
        <n v="4.4000000000000004"/>
        <n v="3.49"/>
        <n v="3.57"/>
        <n v="6.41"/>
        <n v="6.04"/>
        <n v="6.54"/>
        <n v="8.66"/>
        <n v="3.89"/>
        <n v="7.95"/>
        <n v="6.66"/>
        <n v="5.25"/>
        <n v="5.07"/>
        <n v="7.62"/>
        <n v="7.44"/>
        <n v="4.8600000000000003"/>
        <n v="6.93"/>
        <n v="9.99"/>
        <n v="5.22"/>
        <n v="5.17"/>
        <n v="6.18"/>
        <n v="5.99"/>
        <n v="8.43"/>
        <n v="7.55"/>
        <n v="5.63"/>
        <n v="4.71"/>
        <n v="5.28"/>
        <n v="5.95"/>
        <n v="9.98"/>
        <n v="9.93"/>
        <n v="9.08"/>
        <n v="7.98"/>
        <n v="9.6199999999999992"/>
        <n v="8.7100000000000009"/>
        <n v="6.69"/>
        <n v="4.25"/>
        <n v="4.9800000000000004"/>
        <n v="4.97"/>
        <n v="4.96"/>
        <n v="8.58"/>
        <n v="8.51"/>
        <n v="8.35"/>
        <n v="4.03"/>
        <n v="9.3699999999999992"/>
        <n v="6.07"/>
        <n v="6.52"/>
        <n v="3.08"/>
        <n v="5.34"/>
        <n v="3.65"/>
        <n v="4.18"/>
        <n v="3.91"/>
        <n v="5.12"/>
      </sharedItems>
    </cacheField>
    <cacheField name="Ad_Spend" numFmtId="0">
      <sharedItems containsSemiMixedTypes="0" containsString="0" containsNumber="1" containsInteger="1" minValue="5281" maxValue="2782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3.476431249997" createdVersion="8" refreshedVersion="8" minRefreshableVersion="3" recordCount="301" xr:uid="{3B116334-4893-46F5-AE44-985026DFBAC3}">
  <cacheSource type="worksheet">
    <worksheetSource ref="A1:N1048576" sheet="task 2 unsplit dataset"/>
  </cacheSource>
  <cacheFields count="14">
    <cacheField name="Post ID" numFmtId="0">
      <sharedItems containsBlank="1"/>
    </cacheField>
    <cacheField name="Platform" numFmtId="0">
      <sharedItems containsBlank="1" count="4">
        <s v="Instagram"/>
        <s v="YouTube"/>
        <s v="Twitter"/>
        <m/>
      </sharedItems>
    </cacheField>
    <cacheField name="Date" numFmtId="0">
      <sharedItems containsNonDate="0" containsDate="1" containsString="0" containsBlank="1" minDate="2024-01-01T00:00:00" maxDate="2025-07-02T00:00:00"/>
    </cacheField>
    <cacheField name="Content Type" numFmtId="0">
      <sharedItems containsBlank="1" count="4">
        <s v="Text"/>
        <s v="Story"/>
        <s v="Reel"/>
        <m/>
      </sharedItems>
    </cacheField>
    <cacheField name="Post Text" numFmtId="0">
      <sharedItems containsBlank="1"/>
    </cacheField>
    <cacheField name="Likes" numFmtId="0">
      <sharedItems containsString="0" containsBlank="1" containsNumber="1" containsInteger="1" minValue="1010" maxValue="4995"/>
    </cacheField>
    <cacheField name="Shares" numFmtId="0">
      <sharedItems containsString="0" containsBlank="1" containsNumber="1" containsInteger="1" minValue="100" maxValue="499"/>
    </cacheField>
    <cacheField name="Comments" numFmtId="0">
      <sharedItems containsString="0" containsBlank="1" containsNumber="1" containsInteger="1" minValue="51" maxValue="400"/>
    </cacheField>
    <cacheField name="Impressions" numFmtId="0">
      <sharedItems containsString="0" containsBlank="1" containsNumber="1" containsInteger="1" minValue="20368" maxValue="59888"/>
    </cacheField>
    <cacheField name="Reach" numFmtId="0">
      <sharedItems containsString="0" containsBlank="1" containsNumber="1" containsInteger="1" minValue="18091" maxValue="74761"/>
    </cacheField>
    <cacheField name="Clicks" numFmtId="0">
      <sharedItems containsString="0" containsBlank="1" containsNumber="1" containsInteger="1" minValue="80" maxValue="299"/>
    </cacheField>
    <cacheField name="Engagement rate" numFmtId="10">
      <sharedItems containsString="0" containsBlank="1" containsNumber="1" minValue="2.50275284149232E-2" maxValue="0.26064752360763199"/>
    </cacheField>
    <cacheField name="Hashtags Used" numFmtId="0">
      <sharedItems containsBlank="1" count="9">
        <s v="#DiscoverWeekly"/>
        <s v="#DiscoverWeekly,#SpotifyWrapped"/>
        <s v="#SoundtrackOfLife"/>
        <s v="#SoundtrackOfLife,#NowPlaying"/>
        <s v="#NowPlaying"/>
        <s v="#MusicForEveryone,#NowPlaying"/>
        <s v="#DiscoverWeekly,#MusicForEveryone"/>
        <s v="#DiscoverWeekly,#SoundtrackOfLife"/>
        <m/>
      </sharedItems>
    </cacheField>
    <cacheField name="Campaign_Nam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4.759951736109" createdVersion="8" refreshedVersion="8" minRefreshableVersion="3" recordCount="201" xr:uid="{AE19DC6A-A8BA-44DC-98F2-5C09A9BF341B}">
  <cacheSource type="worksheet">
    <worksheetSource ref="A1:L1048576" sheet=" Task 6 moving Avg"/>
  </cacheSource>
  <cacheFields count="11">
    <cacheField name="Week_Start_Date" numFmtId="0">
      <sharedItems containsNonDate="0" containsDate="1" containsString="0" containsBlank="1" minDate="2024-06-03T00:00:00" maxDate="2025-09-09T00:00:00" count="68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  <m/>
      </sharedItems>
      <fieldGroup par="10"/>
    </cacheField>
    <cacheField name="Platform" numFmtId="0">
      <sharedItems containsBlank="1"/>
    </cacheField>
    <cacheField name="New_Followers" numFmtId="0">
      <sharedItems containsString="0" containsBlank="1" containsNumber="1" containsInteger="1" minValue="503" maxValue="1490"/>
    </cacheField>
    <cacheField name="Unfollows" numFmtId="0">
      <sharedItems containsString="0" containsBlank="1" containsNumber="1" containsInteger="1" minValue="50" maxValue="296"/>
    </cacheField>
    <cacheField name="Total_Followers" numFmtId="0">
      <sharedItems containsString="0" containsBlank="1" containsNumber="1" containsInteger="1" minValue="61445" maxValue="397607"/>
    </cacheField>
    <cacheField name="Total engagement" numFmtId="0">
      <sharedItems containsString="0" containsBlank="1" containsNumber="1" containsInteger="1" minValue="1341" maxValue="5728"/>
    </cacheField>
    <cacheField name="Roi(total engagement/ad spend)" numFmtId="0">
      <sharedItems containsString="0" containsBlank="1" containsNumber="1" minValue="6.0512415106543531E-2" maxValue="0.93594771241830066"/>
    </cacheField>
    <cacheField name="Follower gain" numFmtId="0">
      <sharedItems containsString="0" containsBlank="1" containsNumber="1" containsInteger="1" minValue="250" maxValue="1397"/>
    </cacheField>
    <cacheField name="Engagement_Rate" numFmtId="0">
      <sharedItems containsString="0" containsBlank="1" containsNumber="1" minValue="3.08" maxValue="9.99"/>
    </cacheField>
    <cacheField name="Ad_Spend" numFmtId="0">
      <sharedItems containsString="0" containsBlank="1" containsNumber="1" containsInteger="1" minValue="5281" maxValue="27829"/>
    </cacheField>
    <cacheField name="Days (Week_Start_Date)" numFmtId="0" databaseField="0">
      <fieldGroup base="0">
        <rangePr groupBy="days" startDate="2024-06-03T00:00:00" endDate="2025-09-09T00:00:00" groupInterval="7"/>
        <groupItems count="69">
          <s v="&lt;03-06-2024"/>
          <s v="03-06-2024 - 09-06-2024"/>
          <s v="10-06-2024 - 16-06-2024"/>
          <s v="17-06-2024 - 23-06-2024"/>
          <s v="24-06-2024 - 30-06-2024"/>
          <s v="01-07-2024 - 07-07-2024"/>
          <s v="08-07-2024 - 14-07-2024"/>
          <s v="15-07-2024 - 21-07-2024"/>
          <s v="22-07-2024 - 28-07-2024"/>
          <s v="29-07-2024 - 04-08-2024"/>
          <s v="05-08-2024 - 11-08-2024"/>
          <s v="12-08-2024 - 18-08-2024"/>
          <s v="19-08-2024 - 25-08-2024"/>
          <s v="26-08-2024 - 01-09-2024"/>
          <s v="02-09-2024 - 08-09-2024"/>
          <s v="09-09-2024 - 15-09-2024"/>
          <s v="16-09-2024 - 22-09-2024"/>
          <s v="23-09-2024 - 29-09-2024"/>
          <s v="30-09-2024 - 06-10-2024"/>
          <s v="07-10-2024 - 13-10-2024"/>
          <s v="14-10-2024 - 20-10-2024"/>
          <s v="21-10-2024 - 27-10-2024"/>
          <s v="28-10-2024 - 03-11-2024"/>
          <s v="04-11-2024 - 10-11-2024"/>
          <s v="11-11-2024 - 17-11-2024"/>
          <s v="18-11-2024 - 24-11-2024"/>
          <s v="25-11-2024 - 01-12-2024"/>
          <s v="02-12-2024 - 08-12-2024"/>
          <s v="09-12-2024 - 15-12-2024"/>
          <s v="16-12-2024 - 22-12-2024"/>
          <s v="23-12-2024 - 29-12-2024"/>
          <s v="30-12-2024 - 05-01-2025"/>
          <s v="06-01-2025 - 12-01-2025"/>
          <s v="13-01-2025 - 19-01-2025"/>
          <s v="20-01-2025 - 26-01-2025"/>
          <s v="27-01-2025 - 02-02-2025"/>
          <s v="03-02-2025 - 09-02-2025"/>
          <s v="10-02-2025 - 16-02-2025"/>
          <s v="17-02-2025 - 23-02-2025"/>
          <s v="24-02-2025 - 02-03-2025"/>
          <s v="03-03-2025 - 09-03-2025"/>
          <s v="10-03-2025 - 16-03-2025"/>
          <s v="17-03-2025 - 23-03-2025"/>
          <s v="24-03-2025 - 30-03-2025"/>
          <s v="31-03-2025 - 06-04-2025"/>
          <s v="07-04-2025 - 13-04-2025"/>
          <s v="14-04-2025 - 20-04-2025"/>
          <s v="21-04-2025 - 27-04-2025"/>
          <s v="28-04-2025 - 04-05-2025"/>
          <s v="05-05-2025 - 11-05-2025"/>
          <s v="12-05-2025 - 18-05-2025"/>
          <s v="19-05-2025 - 25-05-2025"/>
          <s v="26-05-2025 - 01-06-2025"/>
          <s v="02-06-2025 - 08-06-2025"/>
          <s v="09-06-2025 - 15-06-2025"/>
          <s v="16-06-2025 - 22-06-2025"/>
          <s v="23-06-2025 - 29-06-2025"/>
          <s v="30-06-2025 - 06-07-2025"/>
          <s v="07-07-2025 - 13-07-2025"/>
          <s v="14-07-2025 - 20-07-2025"/>
          <s v="21-07-2025 - 27-07-2025"/>
          <s v="28-07-2025 - 03-08-2025"/>
          <s v="04-08-2025 - 10-08-2025"/>
          <s v="11-08-2025 - 17-08-2025"/>
          <s v="18-08-2025 - 24-08-2025"/>
          <s v="25-08-2025 - 31-08-2025"/>
          <s v="01-09-2025 - 07-09-2025"/>
          <s v="08-09-2025 - 09-09-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2"/>
    <x v="0"/>
    <x v="0"/>
    <x v="0"/>
    <x v="0"/>
    <x v="0"/>
    <x v="0"/>
    <n v="393"/>
    <n v="29129"/>
    <n v="73287"/>
    <x v="0"/>
    <x v="0"/>
    <x v="0"/>
    <x v="0"/>
  </r>
  <r>
    <s v="SP005"/>
    <x v="1"/>
    <x v="1"/>
    <x v="0"/>
    <x v="1"/>
    <x v="1"/>
    <x v="1"/>
    <n v="315"/>
    <n v="24401"/>
    <n v="61182"/>
    <x v="1"/>
    <x v="1"/>
    <x v="1"/>
    <x v="0"/>
  </r>
  <r>
    <s v="SP006"/>
    <x v="1"/>
    <x v="2"/>
    <x v="0"/>
    <x v="2"/>
    <x v="2"/>
    <x v="2"/>
    <n v="275"/>
    <n v="58748"/>
    <n v="44646"/>
    <x v="2"/>
    <x v="2"/>
    <x v="1"/>
    <x v="0"/>
  </r>
  <r>
    <s v="SP011"/>
    <x v="2"/>
    <x v="3"/>
    <x v="0"/>
    <x v="3"/>
    <x v="3"/>
    <x v="3"/>
    <n v="306"/>
    <n v="31316"/>
    <n v="27897"/>
    <x v="3"/>
    <x v="3"/>
    <x v="2"/>
    <x v="0"/>
  </r>
  <r>
    <s v="SP020"/>
    <x v="0"/>
    <x v="4"/>
    <x v="0"/>
    <x v="4"/>
    <x v="4"/>
    <x v="4"/>
    <n v="308"/>
    <n v="29138"/>
    <n v="27678"/>
    <x v="4"/>
    <x v="4"/>
    <x v="0"/>
    <x v="0"/>
  </r>
  <r>
    <s v="SP024"/>
    <x v="2"/>
    <x v="5"/>
    <x v="0"/>
    <x v="5"/>
    <x v="5"/>
    <x v="5"/>
    <n v="180"/>
    <n v="28712"/>
    <n v="61620"/>
    <x v="5"/>
    <x v="5"/>
    <x v="2"/>
    <x v="0"/>
  </r>
  <r>
    <s v="SP036"/>
    <x v="0"/>
    <x v="6"/>
    <x v="0"/>
    <x v="6"/>
    <x v="6"/>
    <x v="6"/>
    <n v="222"/>
    <n v="43066"/>
    <n v="59174"/>
    <x v="6"/>
    <x v="6"/>
    <x v="0"/>
    <x v="0"/>
  </r>
  <r>
    <s v="SP039"/>
    <x v="0"/>
    <x v="7"/>
    <x v="0"/>
    <x v="7"/>
    <x v="7"/>
    <x v="7"/>
    <n v="238"/>
    <n v="51386"/>
    <n v="51706"/>
    <x v="7"/>
    <x v="7"/>
    <x v="0"/>
    <x v="0"/>
  </r>
  <r>
    <s v="SP044"/>
    <x v="0"/>
    <x v="8"/>
    <x v="0"/>
    <x v="5"/>
    <x v="8"/>
    <x v="8"/>
    <n v="326"/>
    <n v="51556"/>
    <n v="62599"/>
    <x v="8"/>
    <x v="8"/>
    <x v="0"/>
    <x v="0"/>
  </r>
  <r>
    <s v="SP045"/>
    <x v="1"/>
    <x v="9"/>
    <x v="0"/>
    <x v="4"/>
    <x v="9"/>
    <x v="9"/>
    <n v="278"/>
    <n v="36148"/>
    <n v="24209"/>
    <x v="9"/>
    <x v="9"/>
    <x v="1"/>
    <x v="0"/>
  </r>
  <r>
    <s v="SP046"/>
    <x v="0"/>
    <x v="10"/>
    <x v="0"/>
    <x v="0"/>
    <x v="10"/>
    <x v="10"/>
    <n v="250"/>
    <n v="23993"/>
    <n v="74590"/>
    <x v="10"/>
    <x v="10"/>
    <x v="0"/>
    <x v="0"/>
  </r>
  <r>
    <s v="SP054"/>
    <x v="0"/>
    <x v="11"/>
    <x v="0"/>
    <x v="8"/>
    <x v="11"/>
    <x v="11"/>
    <n v="212"/>
    <n v="58075"/>
    <n v="59574"/>
    <x v="11"/>
    <x v="11"/>
    <x v="0"/>
    <x v="0"/>
  </r>
  <r>
    <s v="SP057"/>
    <x v="0"/>
    <x v="12"/>
    <x v="0"/>
    <x v="9"/>
    <x v="12"/>
    <x v="12"/>
    <n v="223"/>
    <n v="31233"/>
    <n v="58106"/>
    <x v="12"/>
    <x v="12"/>
    <x v="0"/>
    <x v="0"/>
  </r>
  <r>
    <s v="SP058"/>
    <x v="1"/>
    <x v="13"/>
    <x v="0"/>
    <x v="9"/>
    <x v="13"/>
    <x v="13"/>
    <n v="215"/>
    <n v="39192"/>
    <n v="24744"/>
    <x v="13"/>
    <x v="13"/>
    <x v="1"/>
    <x v="0"/>
  </r>
  <r>
    <s v="SP059"/>
    <x v="1"/>
    <x v="14"/>
    <x v="0"/>
    <x v="7"/>
    <x v="14"/>
    <x v="14"/>
    <n v="55"/>
    <n v="53581"/>
    <n v="74048"/>
    <x v="14"/>
    <x v="14"/>
    <x v="1"/>
    <x v="0"/>
  </r>
  <r>
    <s v="SP060"/>
    <x v="1"/>
    <x v="15"/>
    <x v="0"/>
    <x v="3"/>
    <x v="15"/>
    <x v="15"/>
    <n v="62"/>
    <n v="45503"/>
    <n v="46814"/>
    <x v="15"/>
    <x v="15"/>
    <x v="1"/>
    <x v="0"/>
  </r>
  <r>
    <s v="SP063"/>
    <x v="2"/>
    <x v="16"/>
    <x v="0"/>
    <x v="5"/>
    <x v="16"/>
    <x v="16"/>
    <n v="184"/>
    <n v="37302"/>
    <n v="68953"/>
    <x v="16"/>
    <x v="16"/>
    <x v="2"/>
    <x v="0"/>
  </r>
  <r>
    <s v="SP065"/>
    <x v="1"/>
    <x v="17"/>
    <x v="0"/>
    <x v="7"/>
    <x v="17"/>
    <x v="17"/>
    <n v="110"/>
    <n v="53805"/>
    <n v="30239"/>
    <x v="17"/>
    <x v="17"/>
    <x v="1"/>
    <x v="0"/>
  </r>
  <r>
    <s v="SP068"/>
    <x v="2"/>
    <x v="18"/>
    <x v="0"/>
    <x v="1"/>
    <x v="18"/>
    <x v="18"/>
    <n v="114"/>
    <n v="20580"/>
    <n v="30324"/>
    <x v="18"/>
    <x v="18"/>
    <x v="2"/>
    <x v="0"/>
  </r>
  <r>
    <s v="SP071"/>
    <x v="2"/>
    <x v="19"/>
    <x v="0"/>
    <x v="2"/>
    <x v="19"/>
    <x v="19"/>
    <n v="183"/>
    <n v="28914"/>
    <n v="18310"/>
    <x v="19"/>
    <x v="19"/>
    <x v="2"/>
    <x v="0"/>
  </r>
  <r>
    <s v="SP072"/>
    <x v="0"/>
    <x v="20"/>
    <x v="0"/>
    <x v="7"/>
    <x v="20"/>
    <x v="20"/>
    <n v="52"/>
    <n v="20368"/>
    <n v="42152"/>
    <x v="20"/>
    <x v="20"/>
    <x v="0"/>
    <x v="0"/>
  </r>
  <r>
    <s v="SP076"/>
    <x v="0"/>
    <x v="9"/>
    <x v="0"/>
    <x v="6"/>
    <x v="21"/>
    <x v="21"/>
    <n v="78"/>
    <n v="38665"/>
    <n v="73593"/>
    <x v="21"/>
    <x v="21"/>
    <x v="0"/>
    <x v="0"/>
  </r>
  <r>
    <s v="SP081"/>
    <x v="2"/>
    <x v="21"/>
    <x v="0"/>
    <x v="8"/>
    <x v="22"/>
    <x v="22"/>
    <n v="276"/>
    <n v="56623"/>
    <n v="41343"/>
    <x v="22"/>
    <x v="22"/>
    <x v="2"/>
    <x v="0"/>
  </r>
  <r>
    <s v="SP082"/>
    <x v="0"/>
    <x v="22"/>
    <x v="0"/>
    <x v="4"/>
    <x v="23"/>
    <x v="14"/>
    <n v="306"/>
    <n v="43650"/>
    <n v="50079"/>
    <x v="23"/>
    <x v="23"/>
    <x v="0"/>
    <x v="0"/>
  </r>
  <r>
    <s v="SP091"/>
    <x v="2"/>
    <x v="23"/>
    <x v="0"/>
    <x v="0"/>
    <x v="24"/>
    <x v="23"/>
    <n v="163"/>
    <n v="20659"/>
    <n v="45926"/>
    <x v="24"/>
    <x v="24"/>
    <x v="2"/>
    <x v="0"/>
  </r>
  <r>
    <s v="SP093"/>
    <x v="0"/>
    <x v="24"/>
    <x v="0"/>
    <x v="7"/>
    <x v="25"/>
    <x v="24"/>
    <n v="312"/>
    <n v="25641"/>
    <n v="34601"/>
    <x v="25"/>
    <x v="25"/>
    <x v="0"/>
    <x v="0"/>
  </r>
  <r>
    <s v="SP097"/>
    <x v="0"/>
    <x v="25"/>
    <x v="0"/>
    <x v="2"/>
    <x v="26"/>
    <x v="25"/>
    <n v="97"/>
    <n v="41763"/>
    <n v="29729"/>
    <x v="26"/>
    <x v="26"/>
    <x v="0"/>
    <x v="0"/>
  </r>
  <r>
    <s v="SP100"/>
    <x v="0"/>
    <x v="26"/>
    <x v="0"/>
    <x v="3"/>
    <x v="27"/>
    <x v="26"/>
    <n v="218"/>
    <n v="36090"/>
    <n v="37073"/>
    <x v="27"/>
    <x v="27"/>
    <x v="0"/>
    <x v="0"/>
  </r>
  <r>
    <s v="SP107"/>
    <x v="2"/>
    <x v="27"/>
    <x v="0"/>
    <x v="1"/>
    <x v="28"/>
    <x v="27"/>
    <n v="278"/>
    <n v="52853"/>
    <n v="57084"/>
    <x v="28"/>
    <x v="28"/>
    <x v="2"/>
    <x v="0"/>
  </r>
  <r>
    <s v="SP110"/>
    <x v="0"/>
    <x v="28"/>
    <x v="0"/>
    <x v="5"/>
    <x v="29"/>
    <x v="28"/>
    <n v="336"/>
    <n v="25397"/>
    <n v="51485"/>
    <x v="29"/>
    <x v="29"/>
    <x v="0"/>
    <x v="0"/>
  </r>
  <r>
    <s v="SP115"/>
    <x v="0"/>
    <x v="29"/>
    <x v="0"/>
    <x v="0"/>
    <x v="30"/>
    <x v="29"/>
    <n v="331"/>
    <n v="57451"/>
    <n v="73793"/>
    <x v="30"/>
    <x v="30"/>
    <x v="0"/>
    <x v="0"/>
  </r>
  <r>
    <s v="SP120"/>
    <x v="0"/>
    <x v="30"/>
    <x v="0"/>
    <x v="9"/>
    <x v="31"/>
    <x v="30"/>
    <n v="140"/>
    <n v="53759"/>
    <n v="46834"/>
    <x v="31"/>
    <x v="31"/>
    <x v="0"/>
    <x v="0"/>
  </r>
  <r>
    <s v="SP123"/>
    <x v="1"/>
    <x v="31"/>
    <x v="0"/>
    <x v="7"/>
    <x v="32"/>
    <x v="31"/>
    <n v="94"/>
    <n v="59083"/>
    <n v="49762"/>
    <x v="32"/>
    <x v="32"/>
    <x v="1"/>
    <x v="0"/>
  </r>
  <r>
    <s v="SP127"/>
    <x v="2"/>
    <x v="32"/>
    <x v="0"/>
    <x v="1"/>
    <x v="33"/>
    <x v="32"/>
    <n v="137"/>
    <n v="53485"/>
    <n v="59729"/>
    <x v="33"/>
    <x v="33"/>
    <x v="2"/>
    <x v="0"/>
  </r>
  <r>
    <s v="SP130"/>
    <x v="1"/>
    <x v="33"/>
    <x v="0"/>
    <x v="0"/>
    <x v="34"/>
    <x v="33"/>
    <n v="233"/>
    <n v="59888"/>
    <n v="51449"/>
    <x v="34"/>
    <x v="34"/>
    <x v="1"/>
    <x v="0"/>
  </r>
  <r>
    <s v="SP131"/>
    <x v="2"/>
    <x v="34"/>
    <x v="0"/>
    <x v="4"/>
    <x v="35"/>
    <x v="34"/>
    <n v="371"/>
    <n v="42075"/>
    <n v="66659"/>
    <x v="34"/>
    <x v="35"/>
    <x v="2"/>
    <x v="0"/>
  </r>
  <r>
    <s v="SP133"/>
    <x v="1"/>
    <x v="35"/>
    <x v="0"/>
    <x v="4"/>
    <x v="36"/>
    <x v="35"/>
    <n v="218"/>
    <n v="51696"/>
    <n v="44846"/>
    <x v="35"/>
    <x v="36"/>
    <x v="1"/>
    <x v="0"/>
  </r>
  <r>
    <s v="SP143"/>
    <x v="0"/>
    <x v="36"/>
    <x v="0"/>
    <x v="3"/>
    <x v="37"/>
    <x v="36"/>
    <n v="156"/>
    <n v="53004"/>
    <n v="25678"/>
    <x v="36"/>
    <x v="37"/>
    <x v="0"/>
    <x v="0"/>
  </r>
  <r>
    <s v="SP146"/>
    <x v="0"/>
    <x v="37"/>
    <x v="0"/>
    <x v="3"/>
    <x v="38"/>
    <x v="37"/>
    <n v="380"/>
    <n v="40869"/>
    <n v="64474"/>
    <x v="37"/>
    <x v="38"/>
    <x v="0"/>
    <x v="0"/>
  </r>
  <r>
    <s v="SP149"/>
    <x v="2"/>
    <x v="38"/>
    <x v="0"/>
    <x v="7"/>
    <x v="39"/>
    <x v="38"/>
    <n v="338"/>
    <n v="56994"/>
    <n v="32621"/>
    <x v="38"/>
    <x v="39"/>
    <x v="2"/>
    <x v="0"/>
  </r>
  <r>
    <s v="SP152"/>
    <x v="0"/>
    <x v="39"/>
    <x v="0"/>
    <x v="3"/>
    <x v="40"/>
    <x v="39"/>
    <n v="195"/>
    <n v="37100"/>
    <n v="62629"/>
    <x v="39"/>
    <x v="40"/>
    <x v="0"/>
    <x v="0"/>
  </r>
  <r>
    <s v="SP154"/>
    <x v="0"/>
    <x v="40"/>
    <x v="0"/>
    <x v="2"/>
    <x v="41"/>
    <x v="40"/>
    <n v="294"/>
    <n v="51875"/>
    <n v="24732"/>
    <x v="10"/>
    <x v="41"/>
    <x v="0"/>
    <x v="0"/>
  </r>
  <r>
    <s v="SP157"/>
    <x v="1"/>
    <x v="41"/>
    <x v="0"/>
    <x v="7"/>
    <x v="42"/>
    <x v="41"/>
    <n v="162"/>
    <n v="24610"/>
    <n v="21342"/>
    <x v="40"/>
    <x v="42"/>
    <x v="1"/>
    <x v="0"/>
  </r>
  <r>
    <s v="SP161"/>
    <x v="0"/>
    <x v="42"/>
    <x v="0"/>
    <x v="3"/>
    <x v="43"/>
    <x v="42"/>
    <n v="310"/>
    <n v="22824"/>
    <n v="58103"/>
    <x v="41"/>
    <x v="43"/>
    <x v="0"/>
    <x v="0"/>
  </r>
  <r>
    <s v="SP166"/>
    <x v="0"/>
    <x v="43"/>
    <x v="0"/>
    <x v="5"/>
    <x v="44"/>
    <x v="43"/>
    <n v="176"/>
    <n v="53239"/>
    <n v="34168"/>
    <x v="42"/>
    <x v="44"/>
    <x v="0"/>
    <x v="0"/>
  </r>
  <r>
    <s v="SP167"/>
    <x v="1"/>
    <x v="44"/>
    <x v="0"/>
    <x v="6"/>
    <x v="45"/>
    <x v="44"/>
    <n v="93"/>
    <n v="29828"/>
    <n v="73144"/>
    <x v="43"/>
    <x v="45"/>
    <x v="1"/>
    <x v="0"/>
  </r>
  <r>
    <s v="SP169"/>
    <x v="1"/>
    <x v="45"/>
    <x v="0"/>
    <x v="5"/>
    <x v="46"/>
    <x v="45"/>
    <n v="144"/>
    <n v="52172"/>
    <n v="59386"/>
    <x v="44"/>
    <x v="46"/>
    <x v="1"/>
    <x v="0"/>
  </r>
  <r>
    <s v="SP170"/>
    <x v="2"/>
    <x v="46"/>
    <x v="0"/>
    <x v="5"/>
    <x v="47"/>
    <x v="46"/>
    <n v="329"/>
    <n v="32347"/>
    <n v="68956"/>
    <x v="45"/>
    <x v="47"/>
    <x v="2"/>
    <x v="0"/>
  </r>
  <r>
    <s v="SP172"/>
    <x v="1"/>
    <x v="47"/>
    <x v="0"/>
    <x v="0"/>
    <x v="48"/>
    <x v="47"/>
    <n v="91"/>
    <n v="26795"/>
    <n v="28924"/>
    <x v="46"/>
    <x v="48"/>
    <x v="1"/>
    <x v="0"/>
  </r>
  <r>
    <s v="SP173"/>
    <x v="0"/>
    <x v="48"/>
    <x v="0"/>
    <x v="8"/>
    <x v="49"/>
    <x v="48"/>
    <n v="249"/>
    <n v="43147"/>
    <n v="63136"/>
    <x v="47"/>
    <x v="49"/>
    <x v="0"/>
    <x v="0"/>
  </r>
  <r>
    <s v="SP174"/>
    <x v="1"/>
    <x v="49"/>
    <x v="0"/>
    <x v="6"/>
    <x v="50"/>
    <x v="49"/>
    <n v="378"/>
    <n v="52952"/>
    <n v="58504"/>
    <x v="48"/>
    <x v="50"/>
    <x v="1"/>
    <x v="0"/>
  </r>
  <r>
    <s v="SP177"/>
    <x v="2"/>
    <x v="50"/>
    <x v="0"/>
    <x v="0"/>
    <x v="51"/>
    <x v="29"/>
    <n v="302"/>
    <n v="32470"/>
    <n v="31861"/>
    <x v="49"/>
    <x v="51"/>
    <x v="2"/>
    <x v="0"/>
  </r>
  <r>
    <s v="SP179"/>
    <x v="2"/>
    <x v="40"/>
    <x v="0"/>
    <x v="0"/>
    <x v="52"/>
    <x v="50"/>
    <n v="78"/>
    <n v="39745"/>
    <n v="69226"/>
    <x v="50"/>
    <x v="52"/>
    <x v="2"/>
    <x v="0"/>
  </r>
  <r>
    <s v="SP181"/>
    <x v="2"/>
    <x v="51"/>
    <x v="0"/>
    <x v="7"/>
    <x v="53"/>
    <x v="51"/>
    <n v="83"/>
    <n v="59606"/>
    <n v="24765"/>
    <x v="51"/>
    <x v="53"/>
    <x v="2"/>
    <x v="0"/>
  </r>
  <r>
    <s v="SP183"/>
    <x v="2"/>
    <x v="52"/>
    <x v="0"/>
    <x v="9"/>
    <x v="54"/>
    <x v="52"/>
    <n v="85"/>
    <n v="22020"/>
    <n v="58353"/>
    <x v="38"/>
    <x v="54"/>
    <x v="2"/>
    <x v="0"/>
  </r>
  <r>
    <s v="SP188"/>
    <x v="0"/>
    <x v="53"/>
    <x v="0"/>
    <x v="6"/>
    <x v="55"/>
    <x v="53"/>
    <n v="274"/>
    <n v="45122"/>
    <n v="65431"/>
    <x v="52"/>
    <x v="55"/>
    <x v="0"/>
    <x v="0"/>
  </r>
  <r>
    <s v="SP195"/>
    <x v="1"/>
    <x v="54"/>
    <x v="0"/>
    <x v="5"/>
    <x v="56"/>
    <x v="54"/>
    <n v="399"/>
    <n v="40256"/>
    <n v="52605"/>
    <x v="53"/>
    <x v="56"/>
    <x v="1"/>
    <x v="0"/>
  </r>
  <r>
    <s v="SP197"/>
    <x v="1"/>
    <x v="55"/>
    <x v="0"/>
    <x v="9"/>
    <x v="57"/>
    <x v="55"/>
    <n v="312"/>
    <n v="59517"/>
    <n v="46102"/>
    <x v="11"/>
    <x v="57"/>
    <x v="1"/>
    <x v="0"/>
  </r>
  <r>
    <s v="SP203"/>
    <x v="0"/>
    <x v="56"/>
    <x v="0"/>
    <x v="9"/>
    <x v="58"/>
    <x v="56"/>
    <n v="92"/>
    <n v="30971"/>
    <n v="25347"/>
    <x v="24"/>
    <x v="58"/>
    <x v="0"/>
    <x v="0"/>
  </r>
  <r>
    <s v="SP205"/>
    <x v="2"/>
    <x v="57"/>
    <x v="0"/>
    <x v="6"/>
    <x v="59"/>
    <x v="57"/>
    <n v="120"/>
    <n v="54592"/>
    <n v="67886"/>
    <x v="54"/>
    <x v="59"/>
    <x v="2"/>
    <x v="0"/>
  </r>
  <r>
    <s v="SP208"/>
    <x v="2"/>
    <x v="58"/>
    <x v="0"/>
    <x v="7"/>
    <x v="60"/>
    <x v="58"/>
    <n v="344"/>
    <n v="54223"/>
    <n v="72595"/>
    <x v="11"/>
    <x v="60"/>
    <x v="2"/>
    <x v="0"/>
  </r>
  <r>
    <s v="SP214"/>
    <x v="2"/>
    <x v="59"/>
    <x v="0"/>
    <x v="6"/>
    <x v="61"/>
    <x v="59"/>
    <n v="73"/>
    <n v="23090"/>
    <n v="25872"/>
    <x v="55"/>
    <x v="61"/>
    <x v="2"/>
    <x v="0"/>
  </r>
  <r>
    <s v="SP215"/>
    <x v="1"/>
    <x v="60"/>
    <x v="0"/>
    <x v="4"/>
    <x v="62"/>
    <x v="60"/>
    <n v="182"/>
    <n v="37525"/>
    <n v="37216"/>
    <x v="56"/>
    <x v="62"/>
    <x v="1"/>
    <x v="0"/>
  </r>
  <r>
    <s v="SP216"/>
    <x v="2"/>
    <x v="61"/>
    <x v="0"/>
    <x v="1"/>
    <x v="63"/>
    <x v="61"/>
    <n v="100"/>
    <n v="41313"/>
    <n v="56575"/>
    <x v="5"/>
    <x v="63"/>
    <x v="2"/>
    <x v="0"/>
  </r>
  <r>
    <s v="SP219"/>
    <x v="2"/>
    <x v="62"/>
    <x v="0"/>
    <x v="7"/>
    <x v="64"/>
    <x v="62"/>
    <n v="379"/>
    <n v="51611"/>
    <n v="45880"/>
    <x v="57"/>
    <x v="64"/>
    <x v="2"/>
    <x v="0"/>
  </r>
  <r>
    <s v="SP220"/>
    <x v="1"/>
    <x v="63"/>
    <x v="0"/>
    <x v="2"/>
    <x v="65"/>
    <x v="63"/>
    <n v="375"/>
    <n v="38372"/>
    <n v="22102"/>
    <x v="58"/>
    <x v="65"/>
    <x v="1"/>
    <x v="0"/>
  </r>
  <r>
    <s v="SP223"/>
    <x v="2"/>
    <x v="64"/>
    <x v="0"/>
    <x v="2"/>
    <x v="66"/>
    <x v="64"/>
    <n v="199"/>
    <n v="54232"/>
    <n v="52844"/>
    <x v="59"/>
    <x v="66"/>
    <x v="2"/>
    <x v="0"/>
  </r>
  <r>
    <s v="SP225"/>
    <x v="1"/>
    <x v="65"/>
    <x v="0"/>
    <x v="6"/>
    <x v="67"/>
    <x v="65"/>
    <n v="267"/>
    <n v="40634"/>
    <n v="54511"/>
    <x v="60"/>
    <x v="67"/>
    <x v="1"/>
    <x v="0"/>
  </r>
  <r>
    <s v="SP227"/>
    <x v="1"/>
    <x v="66"/>
    <x v="0"/>
    <x v="1"/>
    <x v="68"/>
    <x v="53"/>
    <n v="106"/>
    <n v="36955"/>
    <n v="23949"/>
    <x v="61"/>
    <x v="68"/>
    <x v="1"/>
    <x v="0"/>
  </r>
  <r>
    <s v="SP229"/>
    <x v="1"/>
    <x v="67"/>
    <x v="0"/>
    <x v="1"/>
    <x v="69"/>
    <x v="66"/>
    <n v="349"/>
    <n v="56876"/>
    <n v="28452"/>
    <x v="62"/>
    <x v="69"/>
    <x v="1"/>
    <x v="0"/>
  </r>
  <r>
    <s v="SP230"/>
    <x v="1"/>
    <x v="68"/>
    <x v="0"/>
    <x v="3"/>
    <x v="70"/>
    <x v="40"/>
    <n v="385"/>
    <n v="47496"/>
    <n v="40832"/>
    <x v="63"/>
    <x v="70"/>
    <x v="1"/>
    <x v="0"/>
  </r>
  <r>
    <s v="SP232"/>
    <x v="1"/>
    <x v="21"/>
    <x v="0"/>
    <x v="9"/>
    <x v="71"/>
    <x v="67"/>
    <n v="306"/>
    <n v="44606"/>
    <n v="42604"/>
    <x v="8"/>
    <x v="71"/>
    <x v="1"/>
    <x v="0"/>
  </r>
  <r>
    <s v="SP235"/>
    <x v="1"/>
    <x v="69"/>
    <x v="0"/>
    <x v="4"/>
    <x v="72"/>
    <x v="4"/>
    <n v="190"/>
    <n v="41791"/>
    <n v="57090"/>
    <x v="64"/>
    <x v="72"/>
    <x v="1"/>
    <x v="0"/>
  </r>
  <r>
    <s v="SP236"/>
    <x v="0"/>
    <x v="70"/>
    <x v="0"/>
    <x v="3"/>
    <x v="73"/>
    <x v="68"/>
    <n v="239"/>
    <n v="36245"/>
    <n v="48606"/>
    <x v="33"/>
    <x v="73"/>
    <x v="0"/>
    <x v="0"/>
  </r>
  <r>
    <s v="SP237"/>
    <x v="1"/>
    <x v="54"/>
    <x v="0"/>
    <x v="2"/>
    <x v="74"/>
    <x v="69"/>
    <n v="386"/>
    <n v="39198"/>
    <n v="25050"/>
    <x v="65"/>
    <x v="74"/>
    <x v="1"/>
    <x v="0"/>
  </r>
  <r>
    <s v="SP240"/>
    <x v="1"/>
    <x v="71"/>
    <x v="0"/>
    <x v="6"/>
    <x v="75"/>
    <x v="56"/>
    <n v="358"/>
    <n v="52346"/>
    <n v="30518"/>
    <x v="31"/>
    <x v="75"/>
    <x v="1"/>
    <x v="0"/>
  </r>
  <r>
    <s v="SP244"/>
    <x v="1"/>
    <x v="72"/>
    <x v="0"/>
    <x v="1"/>
    <x v="76"/>
    <x v="70"/>
    <n v="294"/>
    <n v="57468"/>
    <n v="53397"/>
    <x v="66"/>
    <x v="76"/>
    <x v="1"/>
    <x v="0"/>
  </r>
  <r>
    <s v="SP249"/>
    <x v="0"/>
    <x v="3"/>
    <x v="0"/>
    <x v="2"/>
    <x v="77"/>
    <x v="71"/>
    <n v="107"/>
    <n v="26570"/>
    <n v="19367"/>
    <x v="67"/>
    <x v="77"/>
    <x v="0"/>
    <x v="0"/>
  </r>
  <r>
    <s v="SP251"/>
    <x v="2"/>
    <x v="16"/>
    <x v="0"/>
    <x v="2"/>
    <x v="78"/>
    <x v="72"/>
    <n v="294"/>
    <n v="57819"/>
    <n v="19798"/>
    <x v="68"/>
    <x v="78"/>
    <x v="2"/>
    <x v="0"/>
  </r>
  <r>
    <s v="SP252"/>
    <x v="1"/>
    <x v="73"/>
    <x v="0"/>
    <x v="5"/>
    <x v="79"/>
    <x v="73"/>
    <n v="55"/>
    <n v="45917"/>
    <n v="73503"/>
    <x v="69"/>
    <x v="79"/>
    <x v="1"/>
    <x v="0"/>
  </r>
  <r>
    <s v="SP253"/>
    <x v="1"/>
    <x v="74"/>
    <x v="0"/>
    <x v="7"/>
    <x v="80"/>
    <x v="74"/>
    <n v="290"/>
    <n v="49500"/>
    <n v="23343"/>
    <x v="70"/>
    <x v="80"/>
    <x v="1"/>
    <x v="0"/>
  </r>
  <r>
    <s v="SP261"/>
    <x v="2"/>
    <x v="75"/>
    <x v="0"/>
    <x v="7"/>
    <x v="81"/>
    <x v="71"/>
    <n v="308"/>
    <n v="51740"/>
    <n v="28214"/>
    <x v="71"/>
    <x v="81"/>
    <x v="2"/>
    <x v="0"/>
  </r>
  <r>
    <s v="SP263"/>
    <x v="1"/>
    <x v="76"/>
    <x v="0"/>
    <x v="1"/>
    <x v="82"/>
    <x v="75"/>
    <n v="221"/>
    <n v="51603"/>
    <n v="40033"/>
    <x v="72"/>
    <x v="82"/>
    <x v="1"/>
    <x v="0"/>
  </r>
  <r>
    <s v="SP267"/>
    <x v="1"/>
    <x v="77"/>
    <x v="0"/>
    <x v="9"/>
    <x v="83"/>
    <x v="76"/>
    <n v="320"/>
    <n v="48254"/>
    <n v="46900"/>
    <x v="24"/>
    <x v="83"/>
    <x v="1"/>
    <x v="0"/>
  </r>
  <r>
    <s v="SP272"/>
    <x v="2"/>
    <x v="78"/>
    <x v="0"/>
    <x v="0"/>
    <x v="84"/>
    <x v="77"/>
    <n v="328"/>
    <n v="56921"/>
    <n v="37176"/>
    <x v="73"/>
    <x v="84"/>
    <x v="2"/>
    <x v="0"/>
  </r>
  <r>
    <s v="SP274"/>
    <x v="0"/>
    <x v="79"/>
    <x v="0"/>
    <x v="0"/>
    <x v="85"/>
    <x v="78"/>
    <n v="236"/>
    <n v="49965"/>
    <n v="61555"/>
    <x v="74"/>
    <x v="85"/>
    <x v="0"/>
    <x v="0"/>
  </r>
  <r>
    <s v="SP275"/>
    <x v="0"/>
    <x v="80"/>
    <x v="0"/>
    <x v="6"/>
    <x v="86"/>
    <x v="79"/>
    <n v="309"/>
    <n v="58530"/>
    <n v="26630"/>
    <x v="75"/>
    <x v="86"/>
    <x v="0"/>
    <x v="0"/>
  </r>
  <r>
    <s v="SP283"/>
    <x v="0"/>
    <x v="81"/>
    <x v="0"/>
    <x v="1"/>
    <x v="87"/>
    <x v="80"/>
    <n v="280"/>
    <n v="56048"/>
    <n v="70930"/>
    <x v="76"/>
    <x v="87"/>
    <x v="0"/>
    <x v="0"/>
  </r>
  <r>
    <s v="SP285"/>
    <x v="1"/>
    <x v="82"/>
    <x v="0"/>
    <x v="5"/>
    <x v="88"/>
    <x v="81"/>
    <n v="257"/>
    <n v="56910"/>
    <n v="70606"/>
    <x v="77"/>
    <x v="88"/>
    <x v="1"/>
    <x v="0"/>
  </r>
  <r>
    <s v="SP286"/>
    <x v="0"/>
    <x v="83"/>
    <x v="0"/>
    <x v="8"/>
    <x v="89"/>
    <x v="16"/>
    <n v="387"/>
    <n v="33861"/>
    <n v="47257"/>
    <x v="78"/>
    <x v="89"/>
    <x v="0"/>
    <x v="0"/>
  </r>
  <r>
    <s v="SP287"/>
    <x v="1"/>
    <x v="84"/>
    <x v="0"/>
    <x v="4"/>
    <x v="90"/>
    <x v="82"/>
    <n v="70"/>
    <n v="30515"/>
    <n v="57853"/>
    <x v="79"/>
    <x v="90"/>
    <x v="1"/>
    <x v="0"/>
  </r>
  <r>
    <s v="SP290"/>
    <x v="2"/>
    <x v="85"/>
    <x v="0"/>
    <x v="0"/>
    <x v="91"/>
    <x v="83"/>
    <n v="221"/>
    <n v="23927"/>
    <n v="26182"/>
    <x v="80"/>
    <x v="91"/>
    <x v="2"/>
    <x v="0"/>
  </r>
  <r>
    <s v="SP294"/>
    <x v="0"/>
    <x v="86"/>
    <x v="0"/>
    <x v="7"/>
    <x v="92"/>
    <x v="84"/>
    <n v="229"/>
    <n v="58488"/>
    <n v="24314"/>
    <x v="81"/>
    <x v="92"/>
    <x v="0"/>
    <x v="0"/>
  </r>
  <r>
    <s v="SP297"/>
    <x v="2"/>
    <x v="75"/>
    <x v="0"/>
    <x v="0"/>
    <x v="93"/>
    <x v="85"/>
    <n v="86"/>
    <n v="51777"/>
    <n v="23773"/>
    <x v="70"/>
    <x v="93"/>
    <x v="2"/>
    <x v="0"/>
  </r>
  <r>
    <s v="SP001"/>
    <x v="0"/>
    <x v="87"/>
    <x v="0"/>
    <x v="3"/>
    <x v="94"/>
    <x v="86"/>
    <n v="137"/>
    <n v="21181"/>
    <n v="45292"/>
    <x v="7"/>
    <x v="94"/>
    <x v="3"/>
    <x v="1"/>
  </r>
  <r>
    <s v="SP004"/>
    <x v="0"/>
    <x v="88"/>
    <x v="0"/>
    <x v="6"/>
    <x v="95"/>
    <x v="24"/>
    <n v="197"/>
    <n v="29604"/>
    <n v="21809"/>
    <x v="39"/>
    <x v="95"/>
    <x v="3"/>
    <x v="1"/>
  </r>
  <r>
    <s v="SP009"/>
    <x v="2"/>
    <x v="89"/>
    <x v="0"/>
    <x v="9"/>
    <x v="96"/>
    <x v="87"/>
    <n v="299"/>
    <n v="59016"/>
    <n v="21742"/>
    <x v="82"/>
    <x v="96"/>
    <x v="4"/>
    <x v="1"/>
  </r>
  <r>
    <s v="SP010"/>
    <x v="2"/>
    <x v="90"/>
    <x v="0"/>
    <x v="6"/>
    <x v="97"/>
    <x v="88"/>
    <n v="172"/>
    <n v="21566"/>
    <n v="66829"/>
    <x v="83"/>
    <x v="97"/>
    <x v="4"/>
    <x v="1"/>
  </r>
  <r>
    <s v="SP012"/>
    <x v="0"/>
    <x v="91"/>
    <x v="0"/>
    <x v="3"/>
    <x v="98"/>
    <x v="50"/>
    <n v="244"/>
    <n v="38419"/>
    <n v="38556"/>
    <x v="84"/>
    <x v="98"/>
    <x v="3"/>
    <x v="1"/>
  </r>
  <r>
    <s v="SP014"/>
    <x v="2"/>
    <x v="79"/>
    <x v="0"/>
    <x v="7"/>
    <x v="99"/>
    <x v="89"/>
    <n v="253"/>
    <n v="36702"/>
    <n v="46122"/>
    <x v="85"/>
    <x v="99"/>
    <x v="4"/>
    <x v="1"/>
  </r>
  <r>
    <s v="SP015"/>
    <x v="2"/>
    <x v="92"/>
    <x v="0"/>
    <x v="4"/>
    <x v="100"/>
    <x v="90"/>
    <n v="396"/>
    <n v="37492"/>
    <n v="27285"/>
    <x v="86"/>
    <x v="100"/>
    <x v="4"/>
    <x v="1"/>
  </r>
  <r>
    <s v="SP017"/>
    <x v="2"/>
    <x v="93"/>
    <x v="0"/>
    <x v="2"/>
    <x v="101"/>
    <x v="91"/>
    <n v="275"/>
    <n v="41364"/>
    <n v="44389"/>
    <x v="87"/>
    <x v="101"/>
    <x v="4"/>
    <x v="1"/>
  </r>
  <r>
    <s v="SP022"/>
    <x v="0"/>
    <x v="89"/>
    <x v="0"/>
    <x v="2"/>
    <x v="102"/>
    <x v="92"/>
    <n v="233"/>
    <n v="28621"/>
    <n v="34270"/>
    <x v="88"/>
    <x v="102"/>
    <x v="3"/>
    <x v="1"/>
  </r>
  <r>
    <s v="SP027"/>
    <x v="0"/>
    <x v="94"/>
    <x v="0"/>
    <x v="2"/>
    <x v="103"/>
    <x v="93"/>
    <n v="274"/>
    <n v="31004"/>
    <n v="53488"/>
    <x v="89"/>
    <x v="103"/>
    <x v="3"/>
    <x v="1"/>
  </r>
  <r>
    <s v="SP030"/>
    <x v="2"/>
    <x v="95"/>
    <x v="0"/>
    <x v="3"/>
    <x v="104"/>
    <x v="94"/>
    <n v="168"/>
    <n v="26665"/>
    <n v="71699"/>
    <x v="60"/>
    <x v="104"/>
    <x v="4"/>
    <x v="1"/>
  </r>
  <r>
    <s v="SP031"/>
    <x v="0"/>
    <x v="96"/>
    <x v="0"/>
    <x v="5"/>
    <x v="105"/>
    <x v="95"/>
    <n v="382"/>
    <n v="56284"/>
    <n v="29440"/>
    <x v="90"/>
    <x v="105"/>
    <x v="3"/>
    <x v="1"/>
  </r>
  <r>
    <s v="SP034"/>
    <x v="0"/>
    <x v="97"/>
    <x v="0"/>
    <x v="5"/>
    <x v="106"/>
    <x v="96"/>
    <n v="308"/>
    <n v="38127"/>
    <n v="63790"/>
    <x v="91"/>
    <x v="106"/>
    <x v="3"/>
    <x v="1"/>
  </r>
  <r>
    <s v="SP040"/>
    <x v="2"/>
    <x v="98"/>
    <x v="0"/>
    <x v="0"/>
    <x v="107"/>
    <x v="97"/>
    <n v="162"/>
    <n v="27492"/>
    <n v="35341"/>
    <x v="92"/>
    <x v="107"/>
    <x v="4"/>
    <x v="1"/>
  </r>
  <r>
    <s v="SP041"/>
    <x v="0"/>
    <x v="99"/>
    <x v="0"/>
    <x v="5"/>
    <x v="108"/>
    <x v="50"/>
    <n v="129"/>
    <n v="41265"/>
    <n v="37279"/>
    <x v="41"/>
    <x v="108"/>
    <x v="3"/>
    <x v="1"/>
  </r>
  <r>
    <s v="SP043"/>
    <x v="0"/>
    <x v="100"/>
    <x v="0"/>
    <x v="9"/>
    <x v="109"/>
    <x v="98"/>
    <n v="387"/>
    <n v="48746"/>
    <n v="37312"/>
    <x v="93"/>
    <x v="109"/>
    <x v="3"/>
    <x v="1"/>
  </r>
  <r>
    <s v="SP050"/>
    <x v="2"/>
    <x v="101"/>
    <x v="0"/>
    <x v="3"/>
    <x v="110"/>
    <x v="18"/>
    <n v="216"/>
    <n v="24890"/>
    <n v="54361"/>
    <x v="94"/>
    <x v="110"/>
    <x v="4"/>
    <x v="1"/>
  </r>
  <r>
    <s v="SP055"/>
    <x v="2"/>
    <x v="102"/>
    <x v="0"/>
    <x v="0"/>
    <x v="111"/>
    <x v="98"/>
    <n v="214"/>
    <n v="52115"/>
    <n v="19166"/>
    <x v="71"/>
    <x v="111"/>
    <x v="4"/>
    <x v="1"/>
  </r>
  <r>
    <s v="SP066"/>
    <x v="0"/>
    <x v="57"/>
    <x v="0"/>
    <x v="6"/>
    <x v="112"/>
    <x v="99"/>
    <n v="140"/>
    <n v="58792"/>
    <n v="47711"/>
    <x v="95"/>
    <x v="112"/>
    <x v="3"/>
    <x v="1"/>
  </r>
  <r>
    <s v="SP070"/>
    <x v="2"/>
    <x v="103"/>
    <x v="0"/>
    <x v="6"/>
    <x v="113"/>
    <x v="100"/>
    <n v="254"/>
    <n v="51964"/>
    <n v="68795"/>
    <x v="96"/>
    <x v="113"/>
    <x v="4"/>
    <x v="1"/>
  </r>
  <r>
    <s v="SP077"/>
    <x v="2"/>
    <x v="104"/>
    <x v="0"/>
    <x v="7"/>
    <x v="114"/>
    <x v="101"/>
    <n v="360"/>
    <n v="30589"/>
    <n v="41383"/>
    <x v="3"/>
    <x v="114"/>
    <x v="4"/>
    <x v="1"/>
  </r>
  <r>
    <s v="SP080"/>
    <x v="0"/>
    <x v="105"/>
    <x v="0"/>
    <x v="1"/>
    <x v="115"/>
    <x v="102"/>
    <n v="260"/>
    <n v="37400"/>
    <n v="65014"/>
    <x v="97"/>
    <x v="115"/>
    <x v="3"/>
    <x v="1"/>
  </r>
  <r>
    <s v="SP084"/>
    <x v="2"/>
    <x v="106"/>
    <x v="0"/>
    <x v="4"/>
    <x v="116"/>
    <x v="103"/>
    <n v="213"/>
    <n v="29785"/>
    <n v="57768"/>
    <x v="98"/>
    <x v="116"/>
    <x v="4"/>
    <x v="1"/>
  </r>
  <r>
    <s v="SP085"/>
    <x v="0"/>
    <x v="107"/>
    <x v="0"/>
    <x v="0"/>
    <x v="117"/>
    <x v="104"/>
    <n v="171"/>
    <n v="57685"/>
    <n v="67536"/>
    <x v="85"/>
    <x v="117"/>
    <x v="3"/>
    <x v="1"/>
  </r>
  <r>
    <s v="SP089"/>
    <x v="0"/>
    <x v="90"/>
    <x v="0"/>
    <x v="6"/>
    <x v="118"/>
    <x v="105"/>
    <n v="260"/>
    <n v="32368"/>
    <n v="49028"/>
    <x v="99"/>
    <x v="118"/>
    <x v="3"/>
    <x v="1"/>
  </r>
  <r>
    <s v="SP099"/>
    <x v="2"/>
    <x v="108"/>
    <x v="0"/>
    <x v="6"/>
    <x v="119"/>
    <x v="106"/>
    <n v="356"/>
    <n v="40681"/>
    <n v="63111"/>
    <x v="100"/>
    <x v="119"/>
    <x v="4"/>
    <x v="1"/>
  </r>
  <r>
    <s v="SP101"/>
    <x v="2"/>
    <x v="109"/>
    <x v="0"/>
    <x v="8"/>
    <x v="120"/>
    <x v="107"/>
    <n v="175"/>
    <n v="45012"/>
    <n v="38508"/>
    <x v="101"/>
    <x v="120"/>
    <x v="4"/>
    <x v="1"/>
  </r>
  <r>
    <s v="SP102"/>
    <x v="2"/>
    <x v="73"/>
    <x v="0"/>
    <x v="3"/>
    <x v="121"/>
    <x v="47"/>
    <n v="115"/>
    <n v="23776"/>
    <n v="46386"/>
    <x v="102"/>
    <x v="121"/>
    <x v="4"/>
    <x v="1"/>
  </r>
  <r>
    <s v="SP103"/>
    <x v="0"/>
    <x v="110"/>
    <x v="0"/>
    <x v="1"/>
    <x v="122"/>
    <x v="95"/>
    <n v="181"/>
    <n v="31870"/>
    <n v="55742"/>
    <x v="103"/>
    <x v="122"/>
    <x v="3"/>
    <x v="1"/>
  </r>
  <r>
    <s v="SP105"/>
    <x v="2"/>
    <x v="111"/>
    <x v="0"/>
    <x v="3"/>
    <x v="123"/>
    <x v="32"/>
    <n v="91"/>
    <n v="52090"/>
    <n v="28924"/>
    <x v="7"/>
    <x v="123"/>
    <x v="4"/>
    <x v="1"/>
  </r>
  <r>
    <s v="SP109"/>
    <x v="0"/>
    <x v="112"/>
    <x v="0"/>
    <x v="1"/>
    <x v="124"/>
    <x v="14"/>
    <n v="112"/>
    <n v="35221"/>
    <n v="28797"/>
    <x v="104"/>
    <x v="124"/>
    <x v="3"/>
    <x v="1"/>
  </r>
  <r>
    <s v="SP112"/>
    <x v="0"/>
    <x v="113"/>
    <x v="0"/>
    <x v="4"/>
    <x v="125"/>
    <x v="108"/>
    <n v="298"/>
    <n v="36174"/>
    <n v="34517"/>
    <x v="105"/>
    <x v="125"/>
    <x v="3"/>
    <x v="1"/>
  </r>
  <r>
    <s v="SP113"/>
    <x v="0"/>
    <x v="114"/>
    <x v="0"/>
    <x v="5"/>
    <x v="126"/>
    <x v="109"/>
    <n v="180"/>
    <n v="54342"/>
    <n v="18796"/>
    <x v="102"/>
    <x v="126"/>
    <x v="3"/>
    <x v="1"/>
  </r>
  <r>
    <s v="SP114"/>
    <x v="2"/>
    <x v="115"/>
    <x v="0"/>
    <x v="9"/>
    <x v="127"/>
    <x v="110"/>
    <n v="287"/>
    <n v="46176"/>
    <n v="25488"/>
    <x v="106"/>
    <x v="127"/>
    <x v="4"/>
    <x v="1"/>
  </r>
  <r>
    <s v="SP125"/>
    <x v="2"/>
    <x v="116"/>
    <x v="0"/>
    <x v="7"/>
    <x v="128"/>
    <x v="111"/>
    <n v="345"/>
    <n v="33347"/>
    <n v="22558"/>
    <x v="72"/>
    <x v="128"/>
    <x v="4"/>
    <x v="1"/>
  </r>
  <r>
    <s v="SP128"/>
    <x v="0"/>
    <x v="117"/>
    <x v="0"/>
    <x v="5"/>
    <x v="129"/>
    <x v="112"/>
    <n v="279"/>
    <n v="24615"/>
    <n v="51330"/>
    <x v="57"/>
    <x v="129"/>
    <x v="3"/>
    <x v="1"/>
  </r>
  <r>
    <s v="SP132"/>
    <x v="2"/>
    <x v="118"/>
    <x v="0"/>
    <x v="2"/>
    <x v="130"/>
    <x v="113"/>
    <n v="194"/>
    <n v="49964"/>
    <n v="20685"/>
    <x v="94"/>
    <x v="130"/>
    <x v="4"/>
    <x v="1"/>
  </r>
  <r>
    <s v="SP134"/>
    <x v="2"/>
    <x v="119"/>
    <x v="0"/>
    <x v="5"/>
    <x v="131"/>
    <x v="114"/>
    <n v="249"/>
    <n v="30256"/>
    <n v="47066"/>
    <x v="107"/>
    <x v="131"/>
    <x v="4"/>
    <x v="1"/>
  </r>
  <r>
    <s v="SP136"/>
    <x v="2"/>
    <x v="40"/>
    <x v="0"/>
    <x v="9"/>
    <x v="132"/>
    <x v="115"/>
    <n v="275"/>
    <n v="22827"/>
    <n v="37034"/>
    <x v="108"/>
    <x v="132"/>
    <x v="4"/>
    <x v="1"/>
  </r>
  <r>
    <s v="SP139"/>
    <x v="2"/>
    <x v="120"/>
    <x v="0"/>
    <x v="4"/>
    <x v="133"/>
    <x v="116"/>
    <n v="264"/>
    <n v="27762"/>
    <n v="70203"/>
    <x v="109"/>
    <x v="133"/>
    <x v="4"/>
    <x v="1"/>
  </r>
  <r>
    <s v="SP144"/>
    <x v="0"/>
    <x v="100"/>
    <x v="0"/>
    <x v="3"/>
    <x v="134"/>
    <x v="117"/>
    <n v="291"/>
    <n v="49577"/>
    <n v="28002"/>
    <x v="110"/>
    <x v="134"/>
    <x v="3"/>
    <x v="1"/>
  </r>
  <r>
    <s v="SP155"/>
    <x v="0"/>
    <x v="121"/>
    <x v="0"/>
    <x v="1"/>
    <x v="135"/>
    <x v="28"/>
    <n v="227"/>
    <n v="41085"/>
    <n v="26393"/>
    <x v="32"/>
    <x v="135"/>
    <x v="3"/>
    <x v="1"/>
  </r>
  <r>
    <s v="SP162"/>
    <x v="0"/>
    <x v="122"/>
    <x v="0"/>
    <x v="1"/>
    <x v="136"/>
    <x v="37"/>
    <n v="118"/>
    <n v="25386"/>
    <n v="20873"/>
    <x v="111"/>
    <x v="136"/>
    <x v="3"/>
    <x v="1"/>
  </r>
  <r>
    <s v="SP168"/>
    <x v="0"/>
    <x v="123"/>
    <x v="0"/>
    <x v="9"/>
    <x v="137"/>
    <x v="118"/>
    <n v="323"/>
    <n v="33757"/>
    <n v="68511"/>
    <x v="112"/>
    <x v="137"/>
    <x v="3"/>
    <x v="1"/>
  </r>
  <r>
    <s v="SP176"/>
    <x v="0"/>
    <x v="124"/>
    <x v="0"/>
    <x v="9"/>
    <x v="138"/>
    <x v="46"/>
    <n v="76"/>
    <n v="46493"/>
    <n v="26906"/>
    <x v="113"/>
    <x v="138"/>
    <x v="3"/>
    <x v="1"/>
  </r>
  <r>
    <s v="SP182"/>
    <x v="0"/>
    <x v="51"/>
    <x v="0"/>
    <x v="7"/>
    <x v="123"/>
    <x v="119"/>
    <n v="255"/>
    <n v="47235"/>
    <n v="57922"/>
    <x v="114"/>
    <x v="139"/>
    <x v="3"/>
    <x v="1"/>
  </r>
  <r>
    <s v="SP190"/>
    <x v="0"/>
    <x v="125"/>
    <x v="0"/>
    <x v="1"/>
    <x v="139"/>
    <x v="120"/>
    <n v="148"/>
    <n v="32201"/>
    <n v="49583"/>
    <x v="115"/>
    <x v="140"/>
    <x v="3"/>
    <x v="1"/>
  </r>
  <r>
    <s v="SP196"/>
    <x v="0"/>
    <x v="61"/>
    <x v="0"/>
    <x v="7"/>
    <x v="140"/>
    <x v="121"/>
    <n v="272"/>
    <n v="48810"/>
    <n v="48084"/>
    <x v="39"/>
    <x v="141"/>
    <x v="3"/>
    <x v="1"/>
  </r>
  <r>
    <s v="SP200"/>
    <x v="2"/>
    <x v="126"/>
    <x v="0"/>
    <x v="5"/>
    <x v="141"/>
    <x v="113"/>
    <n v="94"/>
    <n v="56290"/>
    <n v="57391"/>
    <x v="107"/>
    <x v="142"/>
    <x v="4"/>
    <x v="1"/>
  </r>
  <r>
    <s v="SP204"/>
    <x v="2"/>
    <x v="127"/>
    <x v="0"/>
    <x v="8"/>
    <x v="142"/>
    <x v="108"/>
    <n v="127"/>
    <n v="47293"/>
    <n v="27184"/>
    <x v="116"/>
    <x v="143"/>
    <x v="4"/>
    <x v="1"/>
  </r>
  <r>
    <s v="SP217"/>
    <x v="0"/>
    <x v="128"/>
    <x v="0"/>
    <x v="2"/>
    <x v="143"/>
    <x v="122"/>
    <n v="57"/>
    <n v="26109"/>
    <n v="46667"/>
    <x v="7"/>
    <x v="144"/>
    <x v="3"/>
    <x v="1"/>
  </r>
  <r>
    <s v="SP222"/>
    <x v="2"/>
    <x v="129"/>
    <x v="0"/>
    <x v="0"/>
    <x v="144"/>
    <x v="123"/>
    <n v="139"/>
    <n v="44768"/>
    <n v="29435"/>
    <x v="49"/>
    <x v="145"/>
    <x v="4"/>
    <x v="1"/>
  </r>
  <r>
    <s v="SP224"/>
    <x v="2"/>
    <x v="63"/>
    <x v="0"/>
    <x v="7"/>
    <x v="145"/>
    <x v="124"/>
    <n v="93"/>
    <n v="45260"/>
    <n v="57513"/>
    <x v="117"/>
    <x v="146"/>
    <x v="4"/>
    <x v="1"/>
  </r>
  <r>
    <s v="SP231"/>
    <x v="0"/>
    <x v="18"/>
    <x v="0"/>
    <x v="2"/>
    <x v="146"/>
    <x v="54"/>
    <n v="67"/>
    <n v="29847"/>
    <n v="48016"/>
    <x v="53"/>
    <x v="147"/>
    <x v="3"/>
    <x v="1"/>
  </r>
  <r>
    <s v="SP233"/>
    <x v="2"/>
    <x v="130"/>
    <x v="0"/>
    <x v="7"/>
    <x v="147"/>
    <x v="125"/>
    <n v="91"/>
    <n v="39038"/>
    <n v="28095"/>
    <x v="31"/>
    <x v="148"/>
    <x v="4"/>
    <x v="1"/>
  </r>
  <r>
    <s v="SP234"/>
    <x v="2"/>
    <x v="131"/>
    <x v="0"/>
    <x v="7"/>
    <x v="148"/>
    <x v="126"/>
    <n v="286"/>
    <n v="25127"/>
    <n v="22277"/>
    <x v="103"/>
    <x v="149"/>
    <x v="4"/>
    <x v="1"/>
  </r>
  <r>
    <s v="SP238"/>
    <x v="0"/>
    <x v="89"/>
    <x v="0"/>
    <x v="0"/>
    <x v="149"/>
    <x v="127"/>
    <n v="242"/>
    <n v="59272"/>
    <n v="37833"/>
    <x v="118"/>
    <x v="150"/>
    <x v="3"/>
    <x v="1"/>
  </r>
  <r>
    <s v="SP241"/>
    <x v="2"/>
    <x v="132"/>
    <x v="0"/>
    <x v="8"/>
    <x v="150"/>
    <x v="128"/>
    <n v="85"/>
    <n v="53323"/>
    <n v="49938"/>
    <x v="119"/>
    <x v="151"/>
    <x v="4"/>
    <x v="1"/>
  </r>
  <r>
    <s v="SP250"/>
    <x v="2"/>
    <x v="119"/>
    <x v="0"/>
    <x v="4"/>
    <x v="151"/>
    <x v="0"/>
    <n v="311"/>
    <n v="29793"/>
    <n v="37543"/>
    <x v="33"/>
    <x v="152"/>
    <x v="4"/>
    <x v="1"/>
  </r>
  <r>
    <s v="SP254"/>
    <x v="2"/>
    <x v="133"/>
    <x v="0"/>
    <x v="2"/>
    <x v="152"/>
    <x v="129"/>
    <n v="94"/>
    <n v="34431"/>
    <n v="32560"/>
    <x v="68"/>
    <x v="153"/>
    <x v="4"/>
    <x v="1"/>
  </r>
  <r>
    <s v="SP273"/>
    <x v="2"/>
    <x v="10"/>
    <x v="0"/>
    <x v="0"/>
    <x v="153"/>
    <x v="22"/>
    <n v="206"/>
    <n v="51133"/>
    <n v="44583"/>
    <x v="120"/>
    <x v="154"/>
    <x v="4"/>
    <x v="1"/>
  </r>
  <r>
    <s v="SP276"/>
    <x v="2"/>
    <x v="134"/>
    <x v="0"/>
    <x v="3"/>
    <x v="154"/>
    <x v="130"/>
    <n v="292"/>
    <n v="47276"/>
    <n v="51324"/>
    <x v="121"/>
    <x v="155"/>
    <x v="4"/>
    <x v="1"/>
  </r>
  <r>
    <s v="SP278"/>
    <x v="0"/>
    <x v="135"/>
    <x v="0"/>
    <x v="9"/>
    <x v="155"/>
    <x v="131"/>
    <n v="245"/>
    <n v="56371"/>
    <n v="65597"/>
    <x v="122"/>
    <x v="156"/>
    <x v="3"/>
    <x v="1"/>
  </r>
  <r>
    <s v="SP281"/>
    <x v="0"/>
    <x v="136"/>
    <x v="0"/>
    <x v="9"/>
    <x v="156"/>
    <x v="132"/>
    <n v="193"/>
    <n v="56701"/>
    <n v="69437"/>
    <x v="12"/>
    <x v="157"/>
    <x v="3"/>
    <x v="1"/>
  </r>
  <r>
    <s v="SP291"/>
    <x v="0"/>
    <x v="137"/>
    <x v="0"/>
    <x v="4"/>
    <x v="157"/>
    <x v="133"/>
    <n v="124"/>
    <n v="46544"/>
    <n v="69346"/>
    <x v="49"/>
    <x v="158"/>
    <x v="3"/>
    <x v="1"/>
  </r>
  <r>
    <s v="SP298"/>
    <x v="2"/>
    <x v="138"/>
    <x v="0"/>
    <x v="2"/>
    <x v="158"/>
    <x v="61"/>
    <n v="125"/>
    <n v="43970"/>
    <n v="74761"/>
    <x v="87"/>
    <x v="159"/>
    <x v="4"/>
    <x v="1"/>
  </r>
  <r>
    <s v="SP300"/>
    <x v="0"/>
    <x v="139"/>
    <x v="0"/>
    <x v="1"/>
    <x v="159"/>
    <x v="134"/>
    <n v="397"/>
    <n v="28759"/>
    <n v="18691"/>
    <x v="123"/>
    <x v="160"/>
    <x v="3"/>
    <x v="1"/>
  </r>
  <r>
    <s v="SP018"/>
    <x v="0"/>
    <x v="140"/>
    <x v="1"/>
    <x v="1"/>
    <x v="160"/>
    <x v="135"/>
    <n v="163"/>
    <n v="32278"/>
    <n v="53382"/>
    <x v="124"/>
    <x v="161"/>
    <x v="4"/>
    <x v="2"/>
  </r>
  <r>
    <s v="SP021"/>
    <x v="0"/>
    <x v="78"/>
    <x v="1"/>
    <x v="6"/>
    <x v="161"/>
    <x v="44"/>
    <n v="323"/>
    <n v="55668"/>
    <n v="37945"/>
    <x v="47"/>
    <x v="162"/>
    <x v="4"/>
    <x v="2"/>
  </r>
  <r>
    <s v="SP038"/>
    <x v="0"/>
    <x v="141"/>
    <x v="1"/>
    <x v="5"/>
    <x v="162"/>
    <x v="125"/>
    <n v="207"/>
    <n v="44629"/>
    <n v="40699"/>
    <x v="74"/>
    <x v="163"/>
    <x v="4"/>
    <x v="2"/>
  </r>
  <r>
    <s v="SP042"/>
    <x v="0"/>
    <x v="142"/>
    <x v="1"/>
    <x v="2"/>
    <x v="163"/>
    <x v="136"/>
    <n v="393"/>
    <n v="44853"/>
    <n v="69032"/>
    <x v="125"/>
    <x v="164"/>
    <x v="4"/>
    <x v="2"/>
  </r>
  <r>
    <s v="SP048"/>
    <x v="0"/>
    <x v="143"/>
    <x v="1"/>
    <x v="1"/>
    <x v="164"/>
    <x v="46"/>
    <n v="348"/>
    <n v="24104"/>
    <n v="57803"/>
    <x v="53"/>
    <x v="165"/>
    <x v="4"/>
    <x v="2"/>
  </r>
  <r>
    <s v="SP056"/>
    <x v="0"/>
    <x v="144"/>
    <x v="1"/>
    <x v="7"/>
    <x v="136"/>
    <x v="49"/>
    <n v="376"/>
    <n v="23428"/>
    <n v="46775"/>
    <x v="45"/>
    <x v="166"/>
    <x v="4"/>
    <x v="2"/>
  </r>
  <r>
    <s v="SP095"/>
    <x v="0"/>
    <x v="145"/>
    <x v="1"/>
    <x v="3"/>
    <x v="165"/>
    <x v="45"/>
    <n v="193"/>
    <n v="21202"/>
    <n v="18091"/>
    <x v="115"/>
    <x v="167"/>
    <x v="4"/>
    <x v="2"/>
  </r>
  <r>
    <s v="SP116"/>
    <x v="0"/>
    <x v="87"/>
    <x v="1"/>
    <x v="5"/>
    <x v="166"/>
    <x v="14"/>
    <n v="361"/>
    <n v="37148"/>
    <n v="44875"/>
    <x v="37"/>
    <x v="168"/>
    <x v="4"/>
    <x v="2"/>
  </r>
  <r>
    <s v="SP117"/>
    <x v="0"/>
    <x v="146"/>
    <x v="1"/>
    <x v="7"/>
    <x v="167"/>
    <x v="116"/>
    <n v="332"/>
    <n v="58981"/>
    <n v="36118"/>
    <x v="125"/>
    <x v="169"/>
    <x v="4"/>
    <x v="2"/>
  </r>
  <r>
    <s v="SP121"/>
    <x v="0"/>
    <x v="147"/>
    <x v="1"/>
    <x v="5"/>
    <x v="168"/>
    <x v="137"/>
    <n v="229"/>
    <n v="48989"/>
    <n v="39768"/>
    <x v="1"/>
    <x v="170"/>
    <x v="4"/>
    <x v="2"/>
  </r>
  <r>
    <s v="SP142"/>
    <x v="0"/>
    <x v="148"/>
    <x v="1"/>
    <x v="5"/>
    <x v="169"/>
    <x v="52"/>
    <n v="163"/>
    <n v="43679"/>
    <n v="48760"/>
    <x v="10"/>
    <x v="171"/>
    <x v="4"/>
    <x v="2"/>
  </r>
  <r>
    <s v="SP151"/>
    <x v="0"/>
    <x v="149"/>
    <x v="1"/>
    <x v="3"/>
    <x v="170"/>
    <x v="138"/>
    <n v="280"/>
    <n v="52508"/>
    <n v="58329"/>
    <x v="126"/>
    <x v="172"/>
    <x v="4"/>
    <x v="2"/>
  </r>
  <r>
    <s v="SP159"/>
    <x v="0"/>
    <x v="150"/>
    <x v="1"/>
    <x v="8"/>
    <x v="171"/>
    <x v="43"/>
    <n v="202"/>
    <n v="25405"/>
    <n v="69941"/>
    <x v="126"/>
    <x v="173"/>
    <x v="4"/>
    <x v="2"/>
  </r>
  <r>
    <s v="SP164"/>
    <x v="0"/>
    <x v="151"/>
    <x v="1"/>
    <x v="2"/>
    <x v="172"/>
    <x v="139"/>
    <n v="163"/>
    <n v="51712"/>
    <n v="57922"/>
    <x v="52"/>
    <x v="174"/>
    <x v="4"/>
    <x v="2"/>
  </r>
  <r>
    <s v="SP165"/>
    <x v="0"/>
    <x v="102"/>
    <x v="1"/>
    <x v="1"/>
    <x v="94"/>
    <x v="140"/>
    <n v="280"/>
    <n v="27355"/>
    <n v="50562"/>
    <x v="100"/>
    <x v="175"/>
    <x v="4"/>
    <x v="2"/>
  </r>
  <r>
    <s v="SP171"/>
    <x v="0"/>
    <x v="152"/>
    <x v="1"/>
    <x v="6"/>
    <x v="173"/>
    <x v="141"/>
    <n v="75"/>
    <n v="26114"/>
    <n v="57549"/>
    <x v="19"/>
    <x v="176"/>
    <x v="4"/>
    <x v="2"/>
  </r>
  <r>
    <s v="SP178"/>
    <x v="0"/>
    <x v="153"/>
    <x v="1"/>
    <x v="7"/>
    <x v="174"/>
    <x v="142"/>
    <n v="289"/>
    <n v="59838"/>
    <n v="36337"/>
    <x v="127"/>
    <x v="177"/>
    <x v="4"/>
    <x v="2"/>
  </r>
  <r>
    <s v="SP213"/>
    <x v="0"/>
    <x v="154"/>
    <x v="1"/>
    <x v="8"/>
    <x v="175"/>
    <x v="143"/>
    <n v="376"/>
    <n v="31674"/>
    <n v="53225"/>
    <x v="81"/>
    <x v="178"/>
    <x v="4"/>
    <x v="2"/>
  </r>
  <r>
    <s v="SP266"/>
    <x v="0"/>
    <x v="155"/>
    <x v="1"/>
    <x v="8"/>
    <x v="176"/>
    <x v="144"/>
    <n v="98"/>
    <n v="25737"/>
    <n v="48545"/>
    <x v="63"/>
    <x v="179"/>
    <x v="4"/>
    <x v="2"/>
  </r>
  <r>
    <s v="SP277"/>
    <x v="0"/>
    <x v="133"/>
    <x v="1"/>
    <x v="5"/>
    <x v="177"/>
    <x v="22"/>
    <n v="269"/>
    <n v="23341"/>
    <n v="42411"/>
    <x v="22"/>
    <x v="180"/>
    <x v="4"/>
    <x v="2"/>
  </r>
  <r>
    <s v="SP284"/>
    <x v="0"/>
    <x v="156"/>
    <x v="1"/>
    <x v="9"/>
    <x v="178"/>
    <x v="145"/>
    <n v="156"/>
    <n v="27660"/>
    <n v="47776"/>
    <x v="24"/>
    <x v="181"/>
    <x v="4"/>
    <x v="2"/>
  </r>
  <r>
    <s v="SP289"/>
    <x v="0"/>
    <x v="157"/>
    <x v="1"/>
    <x v="5"/>
    <x v="179"/>
    <x v="146"/>
    <n v="149"/>
    <n v="53269"/>
    <n v="64370"/>
    <x v="48"/>
    <x v="182"/>
    <x v="4"/>
    <x v="2"/>
  </r>
  <r>
    <s v="SP295"/>
    <x v="0"/>
    <x v="158"/>
    <x v="1"/>
    <x v="9"/>
    <x v="180"/>
    <x v="147"/>
    <n v="231"/>
    <n v="25834"/>
    <n v="50906"/>
    <x v="128"/>
    <x v="183"/>
    <x v="4"/>
    <x v="2"/>
  </r>
  <r>
    <s v="SP003"/>
    <x v="2"/>
    <x v="88"/>
    <x v="1"/>
    <x v="5"/>
    <x v="181"/>
    <x v="148"/>
    <n v="81"/>
    <n v="47533"/>
    <n v="29220"/>
    <x v="112"/>
    <x v="184"/>
    <x v="5"/>
    <x v="1"/>
  </r>
  <r>
    <s v="SP007"/>
    <x v="2"/>
    <x v="159"/>
    <x v="1"/>
    <x v="8"/>
    <x v="15"/>
    <x v="89"/>
    <n v="327"/>
    <n v="20756"/>
    <n v="63599"/>
    <x v="129"/>
    <x v="185"/>
    <x v="3"/>
    <x v="1"/>
  </r>
  <r>
    <s v="SP008"/>
    <x v="2"/>
    <x v="160"/>
    <x v="1"/>
    <x v="6"/>
    <x v="182"/>
    <x v="149"/>
    <n v="67"/>
    <n v="21148"/>
    <n v="19712"/>
    <x v="99"/>
    <x v="186"/>
    <x v="6"/>
    <x v="1"/>
  </r>
  <r>
    <s v="SP013"/>
    <x v="2"/>
    <x v="161"/>
    <x v="1"/>
    <x v="3"/>
    <x v="183"/>
    <x v="150"/>
    <n v="61"/>
    <n v="58162"/>
    <n v="28720"/>
    <x v="53"/>
    <x v="187"/>
    <x v="5"/>
    <x v="1"/>
  </r>
  <r>
    <s v="SP016"/>
    <x v="2"/>
    <x v="162"/>
    <x v="1"/>
    <x v="5"/>
    <x v="184"/>
    <x v="151"/>
    <n v="94"/>
    <n v="48182"/>
    <n v="42875"/>
    <x v="64"/>
    <x v="188"/>
    <x v="5"/>
    <x v="1"/>
  </r>
  <r>
    <s v="SP026"/>
    <x v="2"/>
    <x v="68"/>
    <x v="1"/>
    <x v="7"/>
    <x v="185"/>
    <x v="152"/>
    <n v="51"/>
    <n v="55302"/>
    <n v="18801"/>
    <x v="81"/>
    <x v="189"/>
    <x v="6"/>
    <x v="1"/>
  </r>
  <r>
    <s v="SP029"/>
    <x v="2"/>
    <x v="163"/>
    <x v="1"/>
    <x v="0"/>
    <x v="91"/>
    <x v="153"/>
    <n v="387"/>
    <n v="57431"/>
    <n v="36933"/>
    <x v="130"/>
    <x v="190"/>
    <x v="5"/>
    <x v="1"/>
  </r>
  <r>
    <s v="SP032"/>
    <x v="2"/>
    <x v="164"/>
    <x v="1"/>
    <x v="0"/>
    <x v="186"/>
    <x v="154"/>
    <n v="178"/>
    <n v="43365"/>
    <n v="48408"/>
    <x v="131"/>
    <x v="191"/>
    <x v="3"/>
    <x v="1"/>
  </r>
  <r>
    <s v="SP033"/>
    <x v="2"/>
    <x v="59"/>
    <x v="1"/>
    <x v="3"/>
    <x v="187"/>
    <x v="155"/>
    <n v="95"/>
    <n v="32181"/>
    <n v="31084"/>
    <x v="109"/>
    <x v="192"/>
    <x v="6"/>
    <x v="1"/>
  </r>
  <r>
    <s v="SP035"/>
    <x v="2"/>
    <x v="165"/>
    <x v="1"/>
    <x v="4"/>
    <x v="188"/>
    <x v="139"/>
    <n v="268"/>
    <n v="40095"/>
    <n v="36913"/>
    <x v="132"/>
    <x v="193"/>
    <x v="5"/>
    <x v="1"/>
  </r>
  <r>
    <s v="SP037"/>
    <x v="2"/>
    <x v="166"/>
    <x v="1"/>
    <x v="0"/>
    <x v="189"/>
    <x v="58"/>
    <n v="400"/>
    <n v="45300"/>
    <n v="31795"/>
    <x v="6"/>
    <x v="194"/>
    <x v="5"/>
    <x v="1"/>
  </r>
  <r>
    <s v="SP049"/>
    <x v="2"/>
    <x v="71"/>
    <x v="1"/>
    <x v="8"/>
    <x v="190"/>
    <x v="156"/>
    <n v="223"/>
    <n v="43443"/>
    <n v="41005"/>
    <x v="26"/>
    <x v="195"/>
    <x v="6"/>
    <x v="1"/>
  </r>
  <r>
    <s v="SP052"/>
    <x v="2"/>
    <x v="167"/>
    <x v="1"/>
    <x v="5"/>
    <x v="191"/>
    <x v="49"/>
    <n v="228"/>
    <n v="21645"/>
    <n v="61334"/>
    <x v="133"/>
    <x v="196"/>
    <x v="6"/>
    <x v="1"/>
  </r>
  <r>
    <s v="SP053"/>
    <x v="2"/>
    <x v="149"/>
    <x v="1"/>
    <x v="2"/>
    <x v="192"/>
    <x v="157"/>
    <n v="331"/>
    <n v="57660"/>
    <n v="68606"/>
    <x v="134"/>
    <x v="197"/>
    <x v="5"/>
    <x v="1"/>
  </r>
  <r>
    <s v="SP062"/>
    <x v="2"/>
    <x v="168"/>
    <x v="1"/>
    <x v="6"/>
    <x v="193"/>
    <x v="158"/>
    <n v="82"/>
    <n v="54036"/>
    <n v="69015"/>
    <x v="23"/>
    <x v="198"/>
    <x v="5"/>
    <x v="1"/>
  </r>
  <r>
    <s v="SP064"/>
    <x v="2"/>
    <x v="169"/>
    <x v="1"/>
    <x v="5"/>
    <x v="194"/>
    <x v="135"/>
    <n v="121"/>
    <n v="51035"/>
    <n v="58207"/>
    <x v="34"/>
    <x v="199"/>
    <x v="5"/>
    <x v="1"/>
  </r>
  <r>
    <s v="SP069"/>
    <x v="2"/>
    <x v="170"/>
    <x v="1"/>
    <x v="1"/>
    <x v="195"/>
    <x v="7"/>
    <n v="286"/>
    <n v="44692"/>
    <n v="53343"/>
    <x v="95"/>
    <x v="200"/>
    <x v="6"/>
    <x v="1"/>
  </r>
  <r>
    <s v="SP074"/>
    <x v="2"/>
    <x v="171"/>
    <x v="1"/>
    <x v="8"/>
    <x v="196"/>
    <x v="159"/>
    <n v="187"/>
    <n v="53342"/>
    <n v="25095"/>
    <x v="3"/>
    <x v="201"/>
    <x v="6"/>
    <x v="1"/>
  </r>
  <r>
    <s v="SP075"/>
    <x v="2"/>
    <x v="172"/>
    <x v="1"/>
    <x v="7"/>
    <x v="197"/>
    <x v="49"/>
    <n v="158"/>
    <n v="41947"/>
    <n v="48578"/>
    <x v="135"/>
    <x v="202"/>
    <x v="3"/>
    <x v="1"/>
  </r>
  <r>
    <s v="SP078"/>
    <x v="2"/>
    <x v="157"/>
    <x v="1"/>
    <x v="3"/>
    <x v="198"/>
    <x v="160"/>
    <n v="55"/>
    <n v="22580"/>
    <n v="22214"/>
    <x v="17"/>
    <x v="203"/>
    <x v="5"/>
    <x v="1"/>
  </r>
  <r>
    <s v="SP083"/>
    <x v="2"/>
    <x v="45"/>
    <x v="1"/>
    <x v="8"/>
    <x v="199"/>
    <x v="161"/>
    <n v="84"/>
    <n v="34578"/>
    <n v="51480"/>
    <x v="136"/>
    <x v="204"/>
    <x v="3"/>
    <x v="1"/>
  </r>
  <r>
    <s v="SP086"/>
    <x v="2"/>
    <x v="68"/>
    <x v="1"/>
    <x v="6"/>
    <x v="200"/>
    <x v="162"/>
    <n v="96"/>
    <n v="36140"/>
    <n v="39395"/>
    <x v="25"/>
    <x v="205"/>
    <x v="3"/>
    <x v="1"/>
  </r>
  <r>
    <s v="SP087"/>
    <x v="2"/>
    <x v="173"/>
    <x v="1"/>
    <x v="3"/>
    <x v="12"/>
    <x v="163"/>
    <n v="89"/>
    <n v="53435"/>
    <n v="30334"/>
    <x v="70"/>
    <x v="206"/>
    <x v="3"/>
    <x v="1"/>
  </r>
  <r>
    <s v="SP088"/>
    <x v="2"/>
    <x v="174"/>
    <x v="1"/>
    <x v="2"/>
    <x v="201"/>
    <x v="127"/>
    <n v="339"/>
    <n v="30752"/>
    <n v="33870"/>
    <x v="43"/>
    <x v="207"/>
    <x v="3"/>
    <x v="1"/>
  </r>
  <r>
    <s v="SP090"/>
    <x v="2"/>
    <x v="175"/>
    <x v="1"/>
    <x v="6"/>
    <x v="202"/>
    <x v="24"/>
    <n v="337"/>
    <n v="22117"/>
    <n v="26205"/>
    <x v="70"/>
    <x v="208"/>
    <x v="5"/>
    <x v="1"/>
  </r>
  <r>
    <s v="SP094"/>
    <x v="2"/>
    <x v="176"/>
    <x v="1"/>
    <x v="9"/>
    <x v="203"/>
    <x v="164"/>
    <n v="397"/>
    <n v="36686"/>
    <n v="54683"/>
    <x v="137"/>
    <x v="209"/>
    <x v="3"/>
    <x v="1"/>
  </r>
  <r>
    <s v="SP096"/>
    <x v="2"/>
    <x v="177"/>
    <x v="1"/>
    <x v="6"/>
    <x v="204"/>
    <x v="131"/>
    <n v="90"/>
    <n v="24223"/>
    <n v="54626"/>
    <x v="138"/>
    <x v="210"/>
    <x v="3"/>
    <x v="1"/>
  </r>
  <r>
    <s v="SP098"/>
    <x v="2"/>
    <x v="178"/>
    <x v="1"/>
    <x v="8"/>
    <x v="205"/>
    <x v="114"/>
    <n v="237"/>
    <n v="59552"/>
    <n v="23885"/>
    <x v="97"/>
    <x v="211"/>
    <x v="6"/>
    <x v="1"/>
  </r>
  <r>
    <s v="SP104"/>
    <x v="2"/>
    <x v="83"/>
    <x v="1"/>
    <x v="2"/>
    <x v="206"/>
    <x v="165"/>
    <n v="183"/>
    <n v="36266"/>
    <n v="32877"/>
    <x v="139"/>
    <x v="212"/>
    <x v="6"/>
    <x v="1"/>
  </r>
  <r>
    <s v="SP106"/>
    <x v="2"/>
    <x v="179"/>
    <x v="1"/>
    <x v="5"/>
    <x v="207"/>
    <x v="40"/>
    <n v="57"/>
    <n v="21334"/>
    <n v="46292"/>
    <x v="140"/>
    <x v="213"/>
    <x v="3"/>
    <x v="1"/>
  </r>
  <r>
    <s v="SP118"/>
    <x v="2"/>
    <x v="180"/>
    <x v="1"/>
    <x v="1"/>
    <x v="208"/>
    <x v="166"/>
    <n v="99"/>
    <n v="54524"/>
    <n v="34790"/>
    <x v="74"/>
    <x v="214"/>
    <x v="6"/>
    <x v="1"/>
  </r>
  <r>
    <s v="SP119"/>
    <x v="2"/>
    <x v="181"/>
    <x v="1"/>
    <x v="1"/>
    <x v="209"/>
    <x v="167"/>
    <n v="114"/>
    <n v="44338"/>
    <n v="52165"/>
    <x v="57"/>
    <x v="215"/>
    <x v="5"/>
    <x v="1"/>
  </r>
  <r>
    <s v="SP122"/>
    <x v="2"/>
    <x v="67"/>
    <x v="1"/>
    <x v="1"/>
    <x v="210"/>
    <x v="168"/>
    <n v="360"/>
    <n v="51468"/>
    <n v="24279"/>
    <x v="47"/>
    <x v="216"/>
    <x v="6"/>
    <x v="1"/>
  </r>
  <r>
    <s v="SP124"/>
    <x v="2"/>
    <x v="160"/>
    <x v="1"/>
    <x v="5"/>
    <x v="211"/>
    <x v="44"/>
    <n v="259"/>
    <n v="46328"/>
    <n v="44293"/>
    <x v="141"/>
    <x v="217"/>
    <x v="3"/>
    <x v="1"/>
  </r>
  <r>
    <s v="SP126"/>
    <x v="2"/>
    <x v="182"/>
    <x v="1"/>
    <x v="2"/>
    <x v="212"/>
    <x v="169"/>
    <n v="277"/>
    <n v="56072"/>
    <n v="21061"/>
    <x v="142"/>
    <x v="218"/>
    <x v="5"/>
    <x v="1"/>
  </r>
  <r>
    <s v="SP129"/>
    <x v="2"/>
    <x v="183"/>
    <x v="1"/>
    <x v="0"/>
    <x v="213"/>
    <x v="170"/>
    <n v="267"/>
    <n v="48879"/>
    <n v="37691"/>
    <x v="143"/>
    <x v="219"/>
    <x v="6"/>
    <x v="1"/>
  </r>
  <r>
    <s v="SP135"/>
    <x v="2"/>
    <x v="184"/>
    <x v="1"/>
    <x v="0"/>
    <x v="214"/>
    <x v="171"/>
    <n v="393"/>
    <n v="37621"/>
    <n v="71794"/>
    <x v="144"/>
    <x v="220"/>
    <x v="5"/>
    <x v="1"/>
  </r>
  <r>
    <s v="SP137"/>
    <x v="2"/>
    <x v="43"/>
    <x v="1"/>
    <x v="5"/>
    <x v="215"/>
    <x v="172"/>
    <n v="307"/>
    <n v="32793"/>
    <n v="43412"/>
    <x v="145"/>
    <x v="221"/>
    <x v="3"/>
    <x v="1"/>
  </r>
  <r>
    <s v="SP138"/>
    <x v="2"/>
    <x v="185"/>
    <x v="1"/>
    <x v="5"/>
    <x v="216"/>
    <x v="173"/>
    <n v="116"/>
    <n v="48437"/>
    <n v="72704"/>
    <x v="32"/>
    <x v="222"/>
    <x v="6"/>
    <x v="1"/>
  </r>
  <r>
    <s v="SP140"/>
    <x v="2"/>
    <x v="81"/>
    <x v="1"/>
    <x v="5"/>
    <x v="217"/>
    <x v="81"/>
    <n v="348"/>
    <n v="29428"/>
    <n v="70206"/>
    <x v="32"/>
    <x v="223"/>
    <x v="5"/>
    <x v="1"/>
  </r>
  <r>
    <s v="SP145"/>
    <x v="2"/>
    <x v="104"/>
    <x v="1"/>
    <x v="9"/>
    <x v="218"/>
    <x v="110"/>
    <n v="122"/>
    <n v="40792"/>
    <n v="23878"/>
    <x v="31"/>
    <x v="224"/>
    <x v="5"/>
    <x v="1"/>
  </r>
  <r>
    <s v="SP147"/>
    <x v="2"/>
    <x v="186"/>
    <x v="1"/>
    <x v="3"/>
    <x v="219"/>
    <x v="174"/>
    <n v="302"/>
    <n v="39187"/>
    <n v="22133"/>
    <x v="50"/>
    <x v="225"/>
    <x v="5"/>
    <x v="1"/>
  </r>
  <r>
    <s v="SP148"/>
    <x v="2"/>
    <x v="187"/>
    <x v="1"/>
    <x v="4"/>
    <x v="86"/>
    <x v="175"/>
    <n v="56"/>
    <n v="48017"/>
    <n v="55534"/>
    <x v="123"/>
    <x v="226"/>
    <x v="6"/>
    <x v="1"/>
  </r>
  <r>
    <s v="SP150"/>
    <x v="2"/>
    <x v="155"/>
    <x v="1"/>
    <x v="4"/>
    <x v="220"/>
    <x v="176"/>
    <n v="363"/>
    <n v="30349"/>
    <n v="32925"/>
    <x v="3"/>
    <x v="227"/>
    <x v="5"/>
    <x v="1"/>
  </r>
  <r>
    <s v="SP153"/>
    <x v="2"/>
    <x v="188"/>
    <x v="1"/>
    <x v="0"/>
    <x v="221"/>
    <x v="177"/>
    <n v="63"/>
    <n v="52395"/>
    <n v="72934"/>
    <x v="134"/>
    <x v="228"/>
    <x v="6"/>
    <x v="1"/>
  </r>
  <r>
    <s v="SP158"/>
    <x v="2"/>
    <x v="189"/>
    <x v="1"/>
    <x v="5"/>
    <x v="222"/>
    <x v="127"/>
    <n v="395"/>
    <n v="33698"/>
    <n v="29259"/>
    <x v="146"/>
    <x v="229"/>
    <x v="6"/>
    <x v="1"/>
  </r>
  <r>
    <s v="SP175"/>
    <x v="2"/>
    <x v="190"/>
    <x v="1"/>
    <x v="1"/>
    <x v="223"/>
    <x v="178"/>
    <n v="315"/>
    <n v="54808"/>
    <n v="29818"/>
    <x v="137"/>
    <x v="230"/>
    <x v="6"/>
    <x v="1"/>
  </r>
  <r>
    <s v="SP180"/>
    <x v="2"/>
    <x v="147"/>
    <x v="1"/>
    <x v="6"/>
    <x v="224"/>
    <x v="179"/>
    <n v="330"/>
    <n v="58329"/>
    <n v="33196"/>
    <x v="147"/>
    <x v="231"/>
    <x v="5"/>
    <x v="1"/>
  </r>
  <r>
    <s v="SP184"/>
    <x v="2"/>
    <x v="191"/>
    <x v="1"/>
    <x v="8"/>
    <x v="225"/>
    <x v="180"/>
    <n v="251"/>
    <n v="47599"/>
    <n v="35543"/>
    <x v="91"/>
    <x v="232"/>
    <x v="5"/>
    <x v="1"/>
  </r>
  <r>
    <s v="SP186"/>
    <x v="2"/>
    <x v="192"/>
    <x v="1"/>
    <x v="0"/>
    <x v="226"/>
    <x v="181"/>
    <n v="254"/>
    <n v="22571"/>
    <n v="29453"/>
    <x v="60"/>
    <x v="233"/>
    <x v="5"/>
    <x v="1"/>
  </r>
  <r>
    <s v="SP192"/>
    <x v="2"/>
    <x v="193"/>
    <x v="1"/>
    <x v="2"/>
    <x v="227"/>
    <x v="182"/>
    <n v="156"/>
    <n v="56165"/>
    <n v="52431"/>
    <x v="72"/>
    <x v="234"/>
    <x v="6"/>
    <x v="1"/>
  </r>
  <r>
    <s v="SP194"/>
    <x v="2"/>
    <x v="194"/>
    <x v="1"/>
    <x v="0"/>
    <x v="228"/>
    <x v="183"/>
    <n v="399"/>
    <n v="58366"/>
    <n v="69512"/>
    <x v="48"/>
    <x v="235"/>
    <x v="5"/>
    <x v="1"/>
  </r>
  <r>
    <s v="SP198"/>
    <x v="2"/>
    <x v="0"/>
    <x v="1"/>
    <x v="9"/>
    <x v="229"/>
    <x v="32"/>
    <n v="190"/>
    <n v="43786"/>
    <n v="72428"/>
    <x v="148"/>
    <x v="236"/>
    <x v="3"/>
    <x v="1"/>
  </r>
  <r>
    <s v="SP199"/>
    <x v="2"/>
    <x v="195"/>
    <x v="1"/>
    <x v="8"/>
    <x v="116"/>
    <x v="184"/>
    <n v="175"/>
    <n v="32991"/>
    <n v="70120"/>
    <x v="120"/>
    <x v="237"/>
    <x v="3"/>
    <x v="1"/>
  </r>
  <r>
    <s v="SP201"/>
    <x v="2"/>
    <x v="196"/>
    <x v="1"/>
    <x v="6"/>
    <x v="230"/>
    <x v="87"/>
    <n v="171"/>
    <n v="35459"/>
    <n v="69988"/>
    <x v="138"/>
    <x v="238"/>
    <x v="5"/>
    <x v="1"/>
  </r>
  <r>
    <s v="SP202"/>
    <x v="2"/>
    <x v="19"/>
    <x v="1"/>
    <x v="6"/>
    <x v="231"/>
    <x v="185"/>
    <n v="206"/>
    <n v="24916"/>
    <n v="30582"/>
    <x v="97"/>
    <x v="239"/>
    <x v="3"/>
    <x v="1"/>
  </r>
  <r>
    <s v="SP206"/>
    <x v="2"/>
    <x v="197"/>
    <x v="1"/>
    <x v="0"/>
    <x v="232"/>
    <x v="169"/>
    <n v="128"/>
    <n v="57569"/>
    <n v="40193"/>
    <x v="148"/>
    <x v="240"/>
    <x v="6"/>
    <x v="1"/>
  </r>
  <r>
    <s v="SP207"/>
    <x v="2"/>
    <x v="43"/>
    <x v="1"/>
    <x v="6"/>
    <x v="233"/>
    <x v="186"/>
    <n v="359"/>
    <n v="51519"/>
    <n v="28256"/>
    <x v="80"/>
    <x v="241"/>
    <x v="3"/>
    <x v="1"/>
  </r>
  <r>
    <s v="SP209"/>
    <x v="2"/>
    <x v="198"/>
    <x v="1"/>
    <x v="2"/>
    <x v="234"/>
    <x v="30"/>
    <n v="200"/>
    <n v="44013"/>
    <n v="44679"/>
    <x v="149"/>
    <x v="242"/>
    <x v="6"/>
    <x v="1"/>
  </r>
  <r>
    <s v="SP210"/>
    <x v="2"/>
    <x v="199"/>
    <x v="1"/>
    <x v="9"/>
    <x v="235"/>
    <x v="187"/>
    <n v="240"/>
    <n v="47229"/>
    <n v="72573"/>
    <x v="41"/>
    <x v="243"/>
    <x v="3"/>
    <x v="1"/>
  </r>
  <r>
    <s v="SP211"/>
    <x v="2"/>
    <x v="200"/>
    <x v="1"/>
    <x v="3"/>
    <x v="236"/>
    <x v="188"/>
    <n v="81"/>
    <n v="48350"/>
    <n v="61033"/>
    <x v="116"/>
    <x v="244"/>
    <x v="6"/>
    <x v="1"/>
  </r>
  <r>
    <s v="SP212"/>
    <x v="2"/>
    <x v="201"/>
    <x v="1"/>
    <x v="2"/>
    <x v="237"/>
    <x v="189"/>
    <n v="305"/>
    <n v="54541"/>
    <n v="63700"/>
    <x v="145"/>
    <x v="245"/>
    <x v="6"/>
    <x v="1"/>
  </r>
  <r>
    <s v="SP218"/>
    <x v="2"/>
    <x v="202"/>
    <x v="1"/>
    <x v="0"/>
    <x v="238"/>
    <x v="190"/>
    <n v="302"/>
    <n v="39575"/>
    <n v="33762"/>
    <x v="132"/>
    <x v="246"/>
    <x v="6"/>
    <x v="1"/>
  </r>
  <r>
    <s v="SP221"/>
    <x v="2"/>
    <x v="203"/>
    <x v="1"/>
    <x v="1"/>
    <x v="239"/>
    <x v="191"/>
    <n v="317"/>
    <n v="26247"/>
    <n v="20677"/>
    <x v="102"/>
    <x v="247"/>
    <x v="5"/>
    <x v="1"/>
  </r>
  <r>
    <s v="SP226"/>
    <x v="2"/>
    <x v="204"/>
    <x v="1"/>
    <x v="5"/>
    <x v="240"/>
    <x v="192"/>
    <n v="212"/>
    <n v="54938"/>
    <n v="27190"/>
    <x v="132"/>
    <x v="248"/>
    <x v="5"/>
    <x v="1"/>
  </r>
  <r>
    <s v="SP239"/>
    <x v="2"/>
    <x v="205"/>
    <x v="1"/>
    <x v="5"/>
    <x v="241"/>
    <x v="193"/>
    <n v="338"/>
    <n v="32900"/>
    <n v="31691"/>
    <x v="70"/>
    <x v="249"/>
    <x v="5"/>
    <x v="1"/>
  </r>
  <r>
    <s v="SP242"/>
    <x v="2"/>
    <x v="206"/>
    <x v="1"/>
    <x v="7"/>
    <x v="242"/>
    <x v="194"/>
    <n v="273"/>
    <n v="35780"/>
    <n v="44349"/>
    <x v="7"/>
    <x v="250"/>
    <x v="6"/>
    <x v="1"/>
  </r>
  <r>
    <s v="SP243"/>
    <x v="2"/>
    <x v="63"/>
    <x v="1"/>
    <x v="6"/>
    <x v="243"/>
    <x v="195"/>
    <n v="243"/>
    <n v="27904"/>
    <n v="69771"/>
    <x v="58"/>
    <x v="251"/>
    <x v="6"/>
    <x v="1"/>
  </r>
  <r>
    <s v="SP245"/>
    <x v="2"/>
    <x v="97"/>
    <x v="1"/>
    <x v="4"/>
    <x v="244"/>
    <x v="67"/>
    <n v="204"/>
    <n v="46434"/>
    <n v="53396"/>
    <x v="119"/>
    <x v="252"/>
    <x v="5"/>
    <x v="1"/>
  </r>
  <r>
    <s v="SP246"/>
    <x v="2"/>
    <x v="207"/>
    <x v="1"/>
    <x v="9"/>
    <x v="245"/>
    <x v="130"/>
    <n v="168"/>
    <n v="20677"/>
    <n v="68290"/>
    <x v="150"/>
    <x v="253"/>
    <x v="3"/>
    <x v="1"/>
  </r>
  <r>
    <s v="SP247"/>
    <x v="2"/>
    <x v="193"/>
    <x v="1"/>
    <x v="4"/>
    <x v="246"/>
    <x v="196"/>
    <n v="397"/>
    <n v="56773"/>
    <n v="72110"/>
    <x v="122"/>
    <x v="254"/>
    <x v="6"/>
    <x v="1"/>
  </r>
  <r>
    <s v="SP255"/>
    <x v="2"/>
    <x v="123"/>
    <x v="1"/>
    <x v="9"/>
    <x v="247"/>
    <x v="197"/>
    <n v="399"/>
    <n v="49319"/>
    <n v="28056"/>
    <x v="4"/>
    <x v="255"/>
    <x v="6"/>
    <x v="1"/>
  </r>
  <r>
    <s v="SP256"/>
    <x v="2"/>
    <x v="207"/>
    <x v="1"/>
    <x v="6"/>
    <x v="248"/>
    <x v="198"/>
    <n v="161"/>
    <n v="52645"/>
    <n v="66262"/>
    <x v="151"/>
    <x v="256"/>
    <x v="5"/>
    <x v="1"/>
  </r>
  <r>
    <s v="SP257"/>
    <x v="2"/>
    <x v="208"/>
    <x v="1"/>
    <x v="9"/>
    <x v="249"/>
    <x v="15"/>
    <n v="86"/>
    <n v="44680"/>
    <n v="52719"/>
    <x v="39"/>
    <x v="257"/>
    <x v="6"/>
    <x v="1"/>
  </r>
  <r>
    <s v="SP259"/>
    <x v="2"/>
    <x v="209"/>
    <x v="1"/>
    <x v="1"/>
    <x v="250"/>
    <x v="199"/>
    <n v="282"/>
    <n v="32140"/>
    <n v="70560"/>
    <x v="131"/>
    <x v="258"/>
    <x v="3"/>
    <x v="1"/>
  </r>
  <r>
    <s v="SP260"/>
    <x v="2"/>
    <x v="103"/>
    <x v="1"/>
    <x v="0"/>
    <x v="251"/>
    <x v="200"/>
    <n v="123"/>
    <n v="43369"/>
    <n v="49035"/>
    <x v="152"/>
    <x v="259"/>
    <x v="5"/>
    <x v="1"/>
  </r>
  <r>
    <s v="SP262"/>
    <x v="2"/>
    <x v="210"/>
    <x v="1"/>
    <x v="0"/>
    <x v="252"/>
    <x v="145"/>
    <n v="193"/>
    <n v="44386"/>
    <n v="28415"/>
    <x v="5"/>
    <x v="260"/>
    <x v="5"/>
    <x v="1"/>
  </r>
  <r>
    <s v="SP265"/>
    <x v="2"/>
    <x v="105"/>
    <x v="1"/>
    <x v="0"/>
    <x v="253"/>
    <x v="185"/>
    <n v="63"/>
    <n v="50081"/>
    <n v="27507"/>
    <x v="18"/>
    <x v="261"/>
    <x v="6"/>
    <x v="1"/>
  </r>
  <r>
    <s v="SP270"/>
    <x v="2"/>
    <x v="176"/>
    <x v="1"/>
    <x v="5"/>
    <x v="254"/>
    <x v="92"/>
    <n v="105"/>
    <n v="58923"/>
    <n v="38753"/>
    <x v="132"/>
    <x v="262"/>
    <x v="6"/>
    <x v="1"/>
  </r>
  <r>
    <s v="SP271"/>
    <x v="2"/>
    <x v="143"/>
    <x v="1"/>
    <x v="3"/>
    <x v="255"/>
    <x v="146"/>
    <n v="66"/>
    <n v="23815"/>
    <n v="47895"/>
    <x v="153"/>
    <x v="263"/>
    <x v="6"/>
    <x v="1"/>
  </r>
  <r>
    <s v="SP279"/>
    <x v="2"/>
    <x v="209"/>
    <x v="1"/>
    <x v="5"/>
    <x v="256"/>
    <x v="201"/>
    <n v="371"/>
    <n v="20410"/>
    <n v="53965"/>
    <x v="129"/>
    <x v="264"/>
    <x v="3"/>
    <x v="1"/>
  </r>
  <r>
    <s v="SP280"/>
    <x v="2"/>
    <x v="118"/>
    <x v="1"/>
    <x v="6"/>
    <x v="257"/>
    <x v="202"/>
    <n v="249"/>
    <n v="44862"/>
    <n v="33365"/>
    <x v="22"/>
    <x v="265"/>
    <x v="6"/>
    <x v="1"/>
  </r>
  <r>
    <s v="SP282"/>
    <x v="2"/>
    <x v="211"/>
    <x v="1"/>
    <x v="8"/>
    <x v="258"/>
    <x v="203"/>
    <n v="148"/>
    <n v="58468"/>
    <n v="39629"/>
    <x v="122"/>
    <x v="266"/>
    <x v="5"/>
    <x v="1"/>
  </r>
  <r>
    <s v="SP288"/>
    <x v="2"/>
    <x v="212"/>
    <x v="1"/>
    <x v="7"/>
    <x v="259"/>
    <x v="204"/>
    <n v="236"/>
    <n v="52673"/>
    <n v="48241"/>
    <x v="138"/>
    <x v="267"/>
    <x v="6"/>
    <x v="1"/>
  </r>
  <r>
    <s v="SP292"/>
    <x v="2"/>
    <x v="168"/>
    <x v="1"/>
    <x v="0"/>
    <x v="260"/>
    <x v="205"/>
    <n v="76"/>
    <n v="26640"/>
    <n v="24306"/>
    <x v="114"/>
    <x v="268"/>
    <x v="5"/>
    <x v="1"/>
  </r>
  <r>
    <s v="SP296"/>
    <x v="2"/>
    <x v="34"/>
    <x v="1"/>
    <x v="4"/>
    <x v="261"/>
    <x v="206"/>
    <n v="79"/>
    <n v="30025"/>
    <n v="21593"/>
    <x v="128"/>
    <x v="269"/>
    <x v="5"/>
    <x v="1"/>
  </r>
  <r>
    <s v="SP299"/>
    <x v="2"/>
    <x v="213"/>
    <x v="1"/>
    <x v="6"/>
    <x v="262"/>
    <x v="160"/>
    <n v="161"/>
    <n v="51651"/>
    <n v="68074"/>
    <x v="154"/>
    <x v="270"/>
    <x v="6"/>
    <x v="1"/>
  </r>
  <r>
    <s v="SP019"/>
    <x v="1"/>
    <x v="214"/>
    <x v="2"/>
    <x v="8"/>
    <x v="263"/>
    <x v="178"/>
    <n v="151"/>
    <n v="31826"/>
    <n v="47729"/>
    <x v="155"/>
    <x v="271"/>
    <x v="7"/>
    <x v="3"/>
  </r>
  <r>
    <s v="SP023"/>
    <x v="1"/>
    <x v="215"/>
    <x v="2"/>
    <x v="7"/>
    <x v="264"/>
    <x v="207"/>
    <n v="208"/>
    <n v="42000"/>
    <n v="39967"/>
    <x v="117"/>
    <x v="272"/>
    <x v="7"/>
    <x v="3"/>
  </r>
  <r>
    <s v="SP025"/>
    <x v="1"/>
    <x v="216"/>
    <x v="2"/>
    <x v="7"/>
    <x v="265"/>
    <x v="205"/>
    <n v="92"/>
    <n v="54605"/>
    <n v="60169"/>
    <x v="116"/>
    <x v="273"/>
    <x v="7"/>
    <x v="3"/>
  </r>
  <r>
    <s v="SP028"/>
    <x v="1"/>
    <x v="217"/>
    <x v="2"/>
    <x v="0"/>
    <x v="266"/>
    <x v="208"/>
    <n v="199"/>
    <n v="49612"/>
    <n v="53929"/>
    <x v="156"/>
    <x v="274"/>
    <x v="7"/>
    <x v="3"/>
  </r>
  <r>
    <s v="SP047"/>
    <x v="1"/>
    <x v="218"/>
    <x v="2"/>
    <x v="7"/>
    <x v="267"/>
    <x v="153"/>
    <n v="358"/>
    <n v="39838"/>
    <n v="24536"/>
    <x v="99"/>
    <x v="275"/>
    <x v="7"/>
    <x v="3"/>
  </r>
  <r>
    <s v="SP051"/>
    <x v="1"/>
    <x v="219"/>
    <x v="2"/>
    <x v="0"/>
    <x v="268"/>
    <x v="106"/>
    <n v="61"/>
    <n v="45884"/>
    <n v="48955"/>
    <x v="157"/>
    <x v="276"/>
    <x v="7"/>
    <x v="3"/>
  </r>
  <r>
    <s v="SP061"/>
    <x v="1"/>
    <x v="220"/>
    <x v="2"/>
    <x v="0"/>
    <x v="269"/>
    <x v="209"/>
    <n v="359"/>
    <n v="44558"/>
    <n v="30854"/>
    <x v="82"/>
    <x v="277"/>
    <x v="7"/>
    <x v="3"/>
  </r>
  <r>
    <s v="SP067"/>
    <x v="1"/>
    <x v="221"/>
    <x v="2"/>
    <x v="4"/>
    <x v="169"/>
    <x v="210"/>
    <n v="356"/>
    <n v="30619"/>
    <n v="23328"/>
    <x v="158"/>
    <x v="278"/>
    <x v="7"/>
    <x v="3"/>
  </r>
  <r>
    <s v="SP073"/>
    <x v="1"/>
    <x v="222"/>
    <x v="2"/>
    <x v="3"/>
    <x v="270"/>
    <x v="163"/>
    <n v="320"/>
    <n v="36528"/>
    <n v="38599"/>
    <x v="123"/>
    <x v="279"/>
    <x v="7"/>
    <x v="3"/>
  </r>
  <r>
    <s v="SP079"/>
    <x v="1"/>
    <x v="223"/>
    <x v="2"/>
    <x v="5"/>
    <x v="271"/>
    <x v="75"/>
    <n v="122"/>
    <n v="35535"/>
    <n v="50777"/>
    <x v="152"/>
    <x v="280"/>
    <x v="7"/>
    <x v="3"/>
  </r>
  <r>
    <s v="SP092"/>
    <x v="1"/>
    <x v="224"/>
    <x v="2"/>
    <x v="0"/>
    <x v="272"/>
    <x v="211"/>
    <n v="315"/>
    <n v="30321"/>
    <n v="57121"/>
    <x v="110"/>
    <x v="281"/>
    <x v="7"/>
    <x v="3"/>
  </r>
  <r>
    <s v="SP108"/>
    <x v="1"/>
    <x v="69"/>
    <x v="2"/>
    <x v="1"/>
    <x v="2"/>
    <x v="212"/>
    <n v="374"/>
    <n v="41991"/>
    <n v="48554"/>
    <x v="149"/>
    <x v="282"/>
    <x v="7"/>
    <x v="3"/>
  </r>
  <r>
    <s v="SP111"/>
    <x v="1"/>
    <x v="225"/>
    <x v="2"/>
    <x v="1"/>
    <x v="273"/>
    <x v="213"/>
    <n v="345"/>
    <n v="33644"/>
    <n v="43547"/>
    <x v="159"/>
    <x v="283"/>
    <x v="7"/>
    <x v="3"/>
  </r>
  <r>
    <s v="SP141"/>
    <x v="1"/>
    <x v="226"/>
    <x v="2"/>
    <x v="0"/>
    <x v="274"/>
    <x v="175"/>
    <n v="218"/>
    <n v="58007"/>
    <n v="24792"/>
    <x v="0"/>
    <x v="284"/>
    <x v="7"/>
    <x v="3"/>
  </r>
  <r>
    <s v="SP156"/>
    <x v="1"/>
    <x v="227"/>
    <x v="2"/>
    <x v="2"/>
    <x v="275"/>
    <x v="160"/>
    <n v="129"/>
    <n v="53048"/>
    <n v="44090"/>
    <x v="47"/>
    <x v="285"/>
    <x v="7"/>
    <x v="3"/>
  </r>
  <r>
    <s v="SP160"/>
    <x v="1"/>
    <x v="228"/>
    <x v="2"/>
    <x v="9"/>
    <x v="276"/>
    <x v="214"/>
    <n v="122"/>
    <n v="46225"/>
    <n v="74305"/>
    <x v="55"/>
    <x v="286"/>
    <x v="7"/>
    <x v="3"/>
  </r>
  <r>
    <s v="SP163"/>
    <x v="1"/>
    <x v="212"/>
    <x v="2"/>
    <x v="7"/>
    <x v="277"/>
    <x v="200"/>
    <n v="204"/>
    <n v="34146"/>
    <n v="44633"/>
    <x v="160"/>
    <x v="287"/>
    <x v="7"/>
    <x v="3"/>
  </r>
  <r>
    <s v="SP185"/>
    <x v="1"/>
    <x v="101"/>
    <x v="2"/>
    <x v="5"/>
    <x v="278"/>
    <x v="215"/>
    <n v="235"/>
    <n v="37980"/>
    <n v="33058"/>
    <x v="126"/>
    <x v="288"/>
    <x v="7"/>
    <x v="3"/>
  </r>
  <r>
    <s v="SP187"/>
    <x v="1"/>
    <x v="229"/>
    <x v="2"/>
    <x v="6"/>
    <x v="279"/>
    <x v="150"/>
    <n v="350"/>
    <n v="37762"/>
    <n v="55162"/>
    <x v="161"/>
    <x v="289"/>
    <x v="7"/>
    <x v="3"/>
  </r>
  <r>
    <s v="SP189"/>
    <x v="1"/>
    <x v="230"/>
    <x v="2"/>
    <x v="8"/>
    <x v="280"/>
    <x v="35"/>
    <n v="365"/>
    <n v="49199"/>
    <n v="40314"/>
    <x v="146"/>
    <x v="290"/>
    <x v="7"/>
    <x v="3"/>
  </r>
  <r>
    <s v="SP191"/>
    <x v="1"/>
    <x v="67"/>
    <x v="2"/>
    <x v="3"/>
    <x v="281"/>
    <x v="154"/>
    <n v="58"/>
    <n v="45080"/>
    <n v="37214"/>
    <x v="154"/>
    <x v="291"/>
    <x v="7"/>
    <x v="3"/>
  </r>
  <r>
    <s v="SP193"/>
    <x v="1"/>
    <x v="48"/>
    <x v="2"/>
    <x v="6"/>
    <x v="282"/>
    <x v="25"/>
    <n v="83"/>
    <n v="26532"/>
    <n v="47305"/>
    <x v="116"/>
    <x v="292"/>
    <x v="7"/>
    <x v="3"/>
  </r>
  <r>
    <s v="SP228"/>
    <x v="1"/>
    <x v="155"/>
    <x v="2"/>
    <x v="2"/>
    <x v="283"/>
    <x v="204"/>
    <n v="319"/>
    <n v="57194"/>
    <n v="24258"/>
    <x v="135"/>
    <x v="293"/>
    <x v="7"/>
    <x v="3"/>
  </r>
  <r>
    <s v="SP248"/>
    <x v="1"/>
    <x v="231"/>
    <x v="2"/>
    <x v="6"/>
    <x v="284"/>
    <x v="216"/>
    <n v="344"/>
    <n v="27911"/>
    <n v="19000"/>
    <x v="162"/>
    <x v="294"/>
    <x v="7"/>
    <x v="3"/>
  </r>
  <r>
    <s v="SP258"/>
    <x v="1"/>
    <x v="34"/>
    <x v="2"/>
    <x v="7"/>
    <x v="285"/>
    <x v="217"/>
    <n v="178"/>
    <n v="52980"/>
    <n v="57180"/>
    <x v="38"/>
    <x v="295"/>
    <x v="7"/>
    <x v="3"/>
  </r>
  <r>
    <s v="SP264"/>
    <x v="1"/>
    <x v="128"/>
    <x v="2"/>
    <x v="8"/>
    <x v="286"/>
    <x v="37"/>
    <n v="83"/>
    <n v="46719"/>
    <n v="20482"/>
    <x v="163"/>
    <x v="296"/>
    <x v="7"/>
    <x v="3"/>
  </r>
  <r>
    <s v="SP268"/>
    <x v="1"/>
    <x v="232"/>
    <x v="2"/>
    <x v="0"/>
    <x v="287"/>
    <x v="218"/>
    <n v="216"/>
    <n v="45818"/>
    <n v="62723"/>
    <x v="147"/>
    <x v="297"/>
    <x v="7"/>
    <x v="3"/>
  </r>
  <r>
    <s v="SP269"/>
    <x v="1"/>
    <x v="233"/>
    <x v="2"/>
    <x v="1"/>
    <x v="288"/>
    <x v="219"/>
    <n v="298"/>
    <n v="56979"/>
    <n v="24098"/>
    <x v="34"/>
    <x v="298"/>
    <x v="7"/>
    <x v="3"/>
  </r>
  <r>
    <s v="SP293"/>
    <x v="1"/>
    <x v="234"/>
    <x v="2"/>
    <x v="4"/>
    <x v="289"/>
    <x v="195"/>
    <n v="364"/>
    <n v="41312"/>
    <n v="50382"/>
    <x v="164"/>
    <x v="299"/>
    <x v="7"/>
    <x v="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x v="0"/>
    <x v="0"/>
    <n v="68"/>
    <n v="124562"/>
    <n v="9.92"/>
    <n v="23125"/>
  </r>
  <r>
    <x v="0"/>
    <x v="1"/>
    <x v="1"/>
    <n v="86"/>
    <n v="227958"/>
    <n v="8.0500000000000007"/>
    <n v="22788"/>
  </r>
  <r>
    <x v="0"/>
    <x v="2"/>
    <x v="2"/>
    <n v="296"/>
    <n v="370242"/>
    <n v="7.72"/>
    <n v="7810"/>
  </r>
  <r>
    <x v="1"/>
    <x v="0"/>
    <x v="3"/>
    <n v="90"/>
    <n v="92474"/>
    <n v="9.4"/>
    <n v="11966"/>
  </r>
  <r>
    <x v="1"/>
    <x v="1"/>
    <x v="4"/>
    <n v="64"/>
    <n v="328902"/>
    <n v="9.02"/>
    <n v="26298"/>
  </r>
  <r>
    <x v="1"/>
    <x v="2"/>
    <x v="5"/>
    <n v="93"/>
    <n v="391621"/>
    <n v="9.9600000000000009"/>
    <n v="22029"/>
  </r>
  <r>
    <x v="2"/>
    <x v="0"/>
    <x v="6"/>
    <n v="291"/>
    <n v="95885"/>
    <n v="5.29"/>
    <n v="12391"/>
  </r>
  <r>
    <x v="2"/>
    <x v="1"/>
    <x v="7"/>
    <n v="131"/>
    <n v="245947"/>
    <n v="8.3000000000000007"/>
    <n v="14477"/>
  </r>
  <r>
    <x v="2"/>
    <x v="2"/>
    <x v="2"/>
    <n v="170"/>
    <n v="250428"/>
    <n v="4.66"/>
    <n v="25040"/>
  </r>
  <r>
    <x v="3"/>
    <x v="0"/>
    <x v="8"/>
    <n v="197"/>
    <n v="87186"/>
    <n v="9.48"/>
    <n v="22619"/>
  </r>
  <r>
    <x v="3"/>
    <x v="1"/>
    <x v="9"/>
    <n v="250"/>
    <n v="128620"/>
    <n v="7.11"/>
    <n v="12399"/>
  </r>
  <r>
    <x v="3"/>
    <x v="2"/>
    <x v="10"/>
    <n v="144"/>
    <n v="126015"/>
    <n v="9.65"/>
    <n v="22456"/>
  </r>
  <r>
    <x v="4"/>
    <x v="0"/>
    <x v="11"/>
    <n v="72"/>
    <n v="178615"/>
    <n v="5.43"/>
    <n v="19328"/>
  </r>
  <r>
    <x v="4"/>
    <x v="1"/>
    <x v="12"/>
    <n v="250"/>
    <n v="218228"/>
    <n v="4.5199999999999996"/>
    <n v="21107"/>
  </r>
  <r>
    <x v="4"/>
    <x v="2"/>
    <x v="13"/>
    <n v="101"/>
    <n v="300397"/>
    <n v="4.33"/>
    <n v="12277"/>
  </r>
  <r>
    <x v="5"/>
    <x v="0"/>
    <x v="14"/>
    <n v="130"/>
    <n v="340121"/>
    <n v="8.52"/>
    <n v="11684"/>
  </r>
  <r>
    <x v="5"/>
    <x v="1"/>
    <x v="15"/>
    <n v="100"/>
    <n v="76866"/>
    <n v="8.5500000000000007"/>
    <n v="14412"/>
  </r>
  <r>
    <x v="5"/>
    <x v="2"/>
    <x v="16"/>
    <n v="136"/>
    <n v="193131"/>
    <n v="7.99"/>
    <n v="15924"/>
  </r>
  <r>
    <x v="6"/>
    <x v="0"/>
    <x v="17"/>
    <n v="257"/>
    <n v="169665"/>
    <n v="6.31"/>
    <n v="12390"/>
  </r>
  <r>
    <x v="6"/>
    <x v="1"/>
    <x v="18"/>
    <n v="210"/>
    <n v="263729"/>
    <n v="8.5299999999999994"/>
    <n v="25742"/>
  </r>
  <r>
    <x v="6"/>
    <x v="2"/>
    <x v="19"/>
    <n v="69"/>
    <n v="206921"/>
    <n v="8.42"/>
    <n v="10495"/>
  </r>
  <r>
    <x v="7"/>
    <x v="0"/>
    <x v="20"/>
    <n v="74"/>
    <n v="204121"/>
    <n v="9.34"/>
    <n v="7797"/>
  </r>
  <r>
    <x v="7"/>
    <x v="1"/>
    <x v="21"/>
    <n v="183"/>
    <n v="266350"/>
    <n v="5.65"/>
    <n v="15595"/>
  </r>
  <r>
    <x v="7"/>
    <x v="2"/>
    <x v="22"/>
    <n v="116"/>
    <n v="380606"/>
    <n v="4.2"/>
    <n v="24617"/>
  </r>
  <r>
    <x v="8"/>
    <x v="0"/>
    <x v="23"/>
    <n v="104"/>
    <n v="376358"/>
    <n v="3.87"/>
    <n v="9847"/>
  </r>
  <r>
    <x v="8"/>
    <x v="1"/>
    <x v="24"/>
    <n v="197"/>
    <n v="79423"/>
    <n v="5.82"/>
    <n v="13644"/>
  </r>
  <r>
    <x v="8"/>
    <x v="2"/>
    <x v="25"/>
    <n v="134"/>
    <n v="352178"/>
    <n v="3.55"/>
    <n v="11421"/>
  </r>
  <r>
    <x v="9"/>
    <x v="0"/>
    <x v="26"/>
    <n v="96"/>
    <n v="200636"/>
    <n v="9.92"/>
    <n v="15613"/>
  </r>
  <r>
    <x v="9"/>
    <x v="1"/>
    <x v="27"/>
    <n v="170"/>
    <n v="132756"/>
    <n v="8.17"/>
    <n v="23900"/>
  </r>
  <r>
    <x v="9"/>
    <x v="2"/>
    <x v="28"/>
    <n v="179"/>
    <n v="318098"/>
    <n v="5.3"/>
    <n v="5836"/>
  </r>
  <r>
    <x v="10"/>
    <x v="0"/>
    <x v="29"/>
    <n v="83"/>
    <n v="68724"/>
    <n v="5.98"/>
    <n v="5624"/>
  </r>
  <r>
    <x v="10"/>
    <x v="1"/>
    <x v="30"/>
    <n v="265"/>
    <n v="115505"/>
    <n v="7.49"/>
    <n v="10311"/>
  </r>
  <r>
    <x v="10"/>
    <x v="2"/>
    <x v="31"/>
    <n v="205"/>
    <n v="276722"/>
    <n v="9.3800000000000008"/>
    <n v="8274"/>
  </r>
  <r>
    <x v="11"/>
    <x v="0"/>
    <x v="32"/>
    <n v="93"/>
    <n v="353538"/>
    <n v="5.84"/>
    <n v="6031"/>
  </r>
  <r>
    <x v="11"/>
    <x v="1"/>
    <x v="33"/>
    <n v="189"/>
    <n v="61445"/>
    <n v="5.41"/>
    <n v="27829"/>
  </r>
  <r>
    <x v="11"/>
    <x v="2"/>
    <x v="34"/>
    <n v="231"/>
    <n v="165035"/>
    <n v="6.05"/>
    <n v="18267"/>
  </r>
  <r>
    <x v="12"/>
    <x v="0"/>
    <x v="35"/>
    <n v="132"/>
    <n v="194595"/>
    <n v="7.54"/>
    <n v="26624"/>
  </r>
  <r>
    <x v="12"/>
    <x v="1"/>
    <x v="36"/>
    <n v="275"/>
    <n v="236238"/>
    <n v="5.87"/>
    <n v="26644"/>
  </r>
  <r>
    <x v="12"/>
    <x v="2"/>
    <x v="30"/>
    <n v="290"/>
    <n v="271044"/>
    <n v="7.17"/>
    <n v="13051"/>
  </r>
  <r>
    <x v="13"/>
    <x v="0"/>
    <x v="37"/>
    <n v="206"/>
    <n v="334887"/>
    <n v="6.05"/>
    <n v="14217"/>
  </r>
  <r>
    <x v="13"/>
    <x v="1"/>
    <x v="38"/>
    <n v="142"/>
    <n v="359150"/>
    <n v="7.51"/>
    <n v="16385"/>
  </r>
  <r>
    <x v="13"/>
    <x v="2"/>
    <x v="39"/>
    <n v="65"/>
    <n v="358295"/>
    <n v="7.66"/>
    <n v="24548"/>
  </r>
  <r>
    <x v="14"/>
    <x v="0"/>
    <x v="40"/>
    <n v="275"/>
    <n v="368454"/>
    <n v="6.03"/>
    <n v="9195"/>
  </r>
  <r>
    <x v="14"/>
    <x v="1"/>
    <x v="41"/>
    <n v="162"/>
    <n v="269082"/>
    <n v="3.4"/>
    <n v="18071"/>
  </r>
  <r>
    <x v="14"/>
    <x v="2"/>
    <x v="42"/>
    <n v="129"/>
    <n v="310903"/>
    <n v="7.83"/>
    <n v="16875"/>
  </r>
  <r>
    <x v="15"/>
    <x v="0"/>
    <x v="43"/>
    <n v="210"/>
    <n v="248581"/>
    <n v="8.76"/>
    <n v="9567"/>
  </r>
  <r>
    <x v="15"/>
    <x v="1"/>
    <x v="44"/>
    <n v="82"/>
    <n v="371015"/>
    <n v="9.52"/>
    <n v="20306"/>
  </r>
  <r>
    <x v="15"/>
    <x v="2"/>
    <x v="45"/>
    <n v="285"/>
    <n v="177452"/>
    <n v="3.36"/>
    <n v="21134"/>
  </r>
  <r>
    <x v="16"/>
    <x v="0"/>
    <x v="46"/>
    <n v="177"/>
    <n v="80745"/>
    <n v="9.2200000000000006"/>
    <n v="26872"/>
  </r>
  <r>
    <x v="16"/>
    <x v="1"/>
    <x v="47"/>
    <n v="239"/>
    <n v="362441"/>
    <n v="5.57"/>
    <n v="10253"/>
  </r>
  <r>
    <x v="16"/>
    <x v="2"/>
    <x v="48"/>
    <n v="295"/>
    <n v="344771"/>
    <n v="8.06"/>
    <n v="23963"/>
  </r>
  <r>
    <x v="17"/>
    <x v="0"/>
    <x v="49"/>
    <n v="284"/>
    <n v="374952"/>
    <n v="3.45"/>
    <n v="11335"/>
  </r>
  <r>
    <x v="17"/>
    <x v="1"/>
    <x v="50"/>
    <n v="154"/>
    <n v="179781"/>
    <n v="9.58"/>
    <n v="12115"/>
  </r>
  <r>
    <x v="17"/>
    <x v="2"/>
    <x v="51"/>
    <n v="246"/>
    <n v="358581"/>
    <n v="8.8800000000000008"/>
    <n v="24358"/>
  </r>
  <r>
    <x v="18"/>
    <x v="0"/>
    <x v="52"/>
    <n v="205"/>
    <n v="319294"/>
    <n v="6.23"/>
    <n v="12181"/>
  </r>
  <r>
    <x v="18"/>
    <x v="1"/>
    <x v="53"/>
    <n v="124"/>
    <n v="192022"/>
    <n v="8.4499999999999993"/>
    <n v="17729"/>
  </r>
  <r>
    <x v="18"/>
    <x v="2"/>
    <x v="54"/>
    <n v="103"/>
    <n v="151462"/>
    <n v="8.4"/>
    <n v="10881"/>
  </r>
  <r>
    <x v="19"/>
    <x v="0"/>
    <x v="55"/>
    <n v="269"/>
    <n v="188193"/>
    <n v="7.34"/>
    <n v="18576"/>
  </r>
  <r>
    <x v="19"/>
    <x v="1"/>
    <x v="56"/>
    <n v="52"/>
    <n v="292040"/>
    <n v="8.14"/>
    <n v="9383"/>
  </r>
  <r>
    <x v="19"/>
    <x v="2"/>
    <x v="57"/>
    <n v="215"/>
    <n v="325325"/>
    <n v="9.58"/>
    <n v="14178"/>
  </r>
  <r>
    <x v="20"/>
    <x v="0"/>
    <x v="58"/>
    <n v="242"/>
    <n v="86849"/>
    <n v="8.06"/>
    <n v="21254"/>
  </r>
  <r>
    <x v="20"/>
    <x v="1"/>
    <x v="59"/>
    <n v="124"/>
    <n v="141161"/>
    <n v="8.19"/>
    <n v="14215"/>
  </r>
  <r>
    <x v="20"/>
    <x v="2"/>
    <x v="60"/>
    <n v="155"/>
    <n v="149916"/>
    <n v="4.4800000000000004"/>
    <n v="16921"/>
  </r>
  <r>
    <x v="21"/>
    <x v="0"/>
    <x v="61"/>
    <n v="261"/>
    <n v="308533"/>
    <n v="4.5199999999999996"/>
    <n v="25130"/>
  </r>
  <r>
    <x v="21"/>
    <x v="1"/>
    <x v="62"/>
    <n v="282"/>
    <n v="293894"/>
    <n v="5.42"/>
    <n v="25537"/>
  </r>
  <r>
    <x v="21"/>
    <x v="2"/>
    <x v="63"/>
    <n v="216"/>
    <n v="147656"/>
    <n v="4.08"/>
    <n v="24943"/>
  </r>
  <r>
    <x v="22"/>
    <x v="0"/>
    <x v="47"/>
    <n v="235"/>
    <n v="326791"/>
    <n v="4.0599999999999996"/>
    <n v="14563"/>
  </r>
  <r>
    <x v="22"/>
    <x v="1"/>
    <x v="64"/>
    <n v="73"/>
    <n v="348877"/>
    <n v="9.91"/>
    <n v="26273"/>
  </r>
  <r>
    <x v="22"/>
    <x v="2"/>
    <x v="65"/>
    <n v="224"/>
    <n v="122730"/>
    <n v="8.7200000000000006"/>
    <n v="10858"/>
  </r>
  <r>
    <x v="23"/>
    <x v="0"/>
    <x v="66"/>
    <n v="187"/>
    <n v="306508"/>
    <n v="8.3800000000000008"/>
    <n v="25038"/>
  </r>
  <r>
    <x v="23"/>
    <x v="1"/>
    <x v="67"/>
    <n v="123"/>
    <n v="202472"/>
    <n v="7.56"/>
    <n v="9092"/>
  </r>
  <r>
    <x v="23"/>
    <x v="2"/>
    <x v="68"/>
    <n v="90"/>
    <n v="227249"/>
    <n v="7.24"/>
    <n v="17662"/>
  </r>
  <r>
    <x v="24"/>
    <x v="0"/>
    <x v="69"/>
    <n v="270"/>
    <n v="246567"/>
    <n v="4.53"/>
    <n v="5924"/>
  </r>
  <r>
    <x v="24"/>
    <x v="1"/>
    <x v="70"/>
    <n v="214"/>
    <n v="114738"/>
    <n v="6.62"/>
    <n v="25347"/>
  </r>
  <r>
    <x v="24"/>
    <x v="2"/>
    <x v="71"/>
    <n v="111"/>
    <n v="333500"/>
    <n v="6.36"/>
    <n v="8910"/>
  </r>
  <r>
    <x v="25"/>
    <x v="0"/>
    <x v="72"/>
    <n v="213"/>
    <n v="352677"/>
    <n v="9"/>
    <n v="20438"/>
  </r>
  <r>
    <x v="25"/>
    <x v="1"/>
    <x v="73"/>
    <n v="271"/>
    <n v="160936"/>
    <n v="8.83"/>
    <n v="8760"/>
  </r>
  <r>
    <x v="25"/>
    <x v="2"/>
    <x v="74"/>
    <n v="159"/>
    <n v="197183"/>
    <n v="9.7100000000000009"/>
    <n v="6625"/>
  </r>
  <r>
    <x v="26"/>
    <x v="0"/>
    <x v="75"/>
    <n v="87"/>
    <n v="171271"/>
    <n v="6.68"/>
    <n v="23329"/>
  </r>
  <r>
    <x v="26"/>
    <x v="1"/>
    <x v="76"/>
    <n v="156"/>
    <n v="111293"/>
    <n v="5.51"/>
    <n v="7299"/>
  </r>
  <r>
    <x v="26"/>
    <x v="2"/>
    <x v="77"/>
    <n v="286"/>
    <n v="351493"/>
    <n v="7.97"/>
    <n v="14496"/>
  </r>
  <r>
    <x v="27"/>
    <x v="0"/>
    <x v="78"/>
    <n v="264"/>
    <n v="345631"/>
    <n v="9.18"/>
    <n v="25703"/>
  </r>
  <r>
    <x v="27"/>
    <x v="1"/>
    <x v="79"/>
    <n v="194"/>
    <n v="105622"/>
    <n v="6.44"/>
    <n v="15108"/>
  </r>
  <r>
    <x v="27"/>
    <x v="2"/>
    <x v="80"/>
    <n v="248"/>
    <n v="119054"/>
    <n v="5.0199999999999996"/>
    <n v="18867"/>
  </r>
  <r>
    <x v="28"/>
    <x v="0"/>
    <x v="81"/>
    <n v="233"/>
    <n v="171670"/>
    <n v="4.53"/>
    <n v="17574"/>
  </r>
  <r>
    <x v="28"/>
    <x v="1"/>
    <x v="82"/>
    <n v="155"/>
    <n v="170432"/>
    <n v="9.17"/>
    <n v="12840"/>
  </r>
  <r>
    <x v="28"/>
    <x v="2"/>
    <x v="83"/>
    <n v="83"/>
    <n v="140300"/>
    <n v="3.27"/>
    <n v="21079"/>
  </r>
  <r>
    <x v="29"/>
    <x v="0"/>
    <x v="84"/>
    <n v="94"/>
    <n v="116538"/>
    <n v="5.31"/>
    <n v="23486"/>
  </r>
  <r>
    <x v="29"/>
    <x v="1"/>
    <x v="85"/>
    <n v="227"/>
    <n v="176902"/>
    <n v="6.03"/>
    <n v="5960"/>
  </r>
  <r>
    <x v="29"/>
    <x v="2"/>
    <x v="86"/>
    <n v="85"/>
    <n v="326821"/>
    <n v="8.89"/>
    <n v="13301"/>
  </r>
  <r>
    <x v="30"/>
    <x v="0"/>
    <x v="87"/>
    <n v="251"/>
    <n v="240598"/>
    <n v="4.79"/>
    <n v="10563"/>
  </r>
  <r>
    <x v="30"/>
    <x v="1"/>
    <x v="88"/>
    <n v="103"/>
    <n v="373274"/>
    <n v="4.8"/>
    <n v="19949"/>
  </r>
  <r>
    <x v="30"/>
    <x v="2"/>
    <x v="89"/>
    <n v="64"/>
    <n v="123272"/>
    <n v="4.07"/>
    <n v="14273"/>
  </r>
  <r>
    <x v="31"/>
    <x v="0"/>
    <x v="90"/>
    <n v="170"/>
    <n v="139266"/>
    <n v="6.06"/>
    <n v="9247"/>
  </r>
  <r>
    <x v="31"/>
    <x v="1"/>
    <x v="91"/>
    <n v="57"/>
    <n v="155927"/>
    <n v="7.79"/>
    <n v="11972"/>
  </r>
  <r>
    <x v="31"/>
    <x v="2"/>
    <x v="92"/>
    <n v="228"/>
    <n v="258398"/>
    <n v="9.0500000000000007"/>
    <n v="13314"/>
  </r>
  <r>
    <x v="32"/>
    <x v="0"/>
    <x v="93"/>
    <n v="65"/>
    <n v="338561"/>
    <n v="3.5"/>
    <n v="14749"/>
  </r>
  <r>
    <x v="32"/>
    <x v="1"/>
    <x v="7"/>
    <n v="60"/>
    <n v="341856"/>
    <n v="8.76"/>
    <n v="6868"/>
  </r>
  <r>
    <x v="32"/>
    <x v="2"/>
    <x v="45"/>
    <n v="165"/>
    <n v="175860"/>
    <n v="6.26"/>
    <n v="6027"/>
  </r>
  <r>
    <x v="33"/>
    <x v="0"/>
    <x v="89"/>
    <n v="159"/>
    <n v="327722"/>
    <n v="3.33"/>
    <n v="25267"/>
  </r>
  <r>
    <x v="33"/>
    <x v="1"/>
    <x v="94"/>
    <n v="295"/>
    <n v="271638"/>
    <n v="9.15"/>
    <n v="5900"/>
  </r>
  <r>
    <x v="33"/>
    <x v="2"/>
    <x v="95"/>
    <n v="261"/>
    <n v="333851"/>
    <n v="6.03"/>
    <n v="11181"/>
  </r>
  <r>
    <x v="34"/>
    <x v="0"/>
    <x v="96"/>
    <n v="225"/>
    <n v="368984"/>
    <n v="9.82"/>
    <n v="9592"/>
  </r>
  <r>
    <x v="34"/>
    <x v="1"/>
    <x v="97"/>
    <n v="280"/>
    <n v="167310"/>
    <n v="3.7"/>
    <n v="5291"/>
  </r>
  <r>
    <x v="34"/>
    <x v="2"/>
    <x v="98"/>
    <n v="101"/>
    <n v="194811"/>
    <n v="3.35"/>
    <n v="22244"/>
  </r>
  <r>
    <x v="35"/>
    <x v="0"/>
    <x v="99"/>
    <n v="60"/>
    <n v="314982"/>
    <n v="7.31"/>
    <n v="6824"/>
  </r>
  <r>
    <x v="35"/>
    <x v="1"/>
    <x v="43"/>
    <n v="158"/>
    <n v="75960"/>
    <n v="3.13"/>
    <n v="24112"/>
  </r>
  <r>
    <x v="35"/>
    <x v="2"/>
    <x v="100"/>
    <n v="112"/>
    <n v="360759"/>
    <n v="4.8899999999999997"/>
    <n v="25478"/>
  </r>
  <r>
    <x v="36"/>
    <x v="0"/>
    <x v="101"/>
    <n v="151"/>
    <n v="297090"/>
    <n v="8.6300000000000008"/>
    <n v="11235"/>
  </r>
  <r>
    <x v="36"/>
    <x v="1"/>
    <x v="102"/>
    <n v="162"/>
    <n v="92040"/>
    <n v="8.0299999999999994"/>
    <n v="6120"/>
  </r>
  <r>
    <x v="36"/>
    <x v="2"/>
    <x v="103"/>
    <n v="198"/>
    <n v="174610"/>
    <n v="7.85"/>
    <n v="20572"/>
  </r>
  <r>
    <x v="37"/>
    <x v="0"/>
    <x v="98"/>
    <n v="95"/>
    <n v="177376"/>
    <n v="6.12"/>
    <n v="14975"/>
  </r>
  <r>
    <x v="37"/>
    <x v="1"/>
    <x v="43"/>
    <n v="218"/>
    <n v="198882"/>
    <n v="7.16"/>
    <n v="22234"/>
  </r>
  <r>
    <x v="37"/>
    <x v="2"/>
    <x v="104"/>
    <n v="290"/>
    <n v="336383"/>
    <n v="7.04"/>
    <n v="6532"/>
  </r>
  <r>
    <x v="38"/>
    <x v="0"/>
    <x v="105"/>
    <n v="267"/>
    <n v="346890"/>
    <n v="3.71"/>
    <n v="24858"/>
  </r>
  <r>
    <x v="38"/>
    <x v="1"/>
    <x v="59"/>
    <n v="250"/>
    <n v="168170"/>
    <n v="4.12"/>
    <n v="13883"/>
  </r>
  <r>
    <x v="38"/>
    <x v="2"/>
    <x v="106"/>
    <n v="279"/>
    <n v="368872"/>
    <n v="6.82"/>
    <n v="18654"/>
  </r>
  <r>
    <x v="39"/>
    <x v="0"/>
    <x v="107"/>
    <n v="165"/>
    <n v="116436"/>
    <n v="8.2200000000000006"/>
    <n v="25234"/>
  </r>
  <r>
    <x v="39"/>
    <x v="1"/>
    <x v="108"/>
    <n v="228"/>
    <n v="127502"/>
    <n v="7.71"/>
    <n v="6772"/>
  </r>
  <r>
    <x v="39"/>
    <x v="2"/>
    <x v="109"/>
    <n v="187"/>
    <n v="274567"/>
    <n v="7.39"/>
    <n v="22428"/>
  </r>
  <r>
    <x v="40"/>
    <x v="0"/>
    <x v="110"/>
    <n v="86"/>
    <n v="295090"/>
    <n v="7.89"/>
    <n v="11911"/>
  </r>
  <r>
    <x v="40"/>
    <x v="1"/>
    <x v="111"/>
    <n v="154"/>
    <n v="194994"/>
    <n v="6.39"/>
    <n v="21900"/>
  </r>
  <r>
    <x v="40"/>
    <x v="2"/>
    <x v="112"/>
    <n v="185"/>
    <n v="340750"/>
    <n v="6.77"/>
    <n v="25542"/>
  </r>
  <r>
    <x v="41"/>
    <x v="0"/>
    <x v="113"/>
    <n v="129"/>
    <n v="296031"/>
    <n v="3.41"/>
    <n v="7140"/>
  </r>
  <r>
    <x v="41"/>
    <x v="1"/>
    <x v="114"/>
    <n v="80"/>
    <n v="345688"/>
    <n v="4.1100000000000003"/>
    <n v="20474"/>
  </r>
  <r>
    <x v="41"/>
    <x v="2"/>
    <x v="115"/>
    <n v="146"/>
    <n v="263488"/>
    <n v="9.58"/>
    <n v="8698"/>
  </r>
  <r>
    <x v="42"/>
    <x v="0"/>
    <x v="116"/>
    <n v="253"/>
    <n v="184911"/>
    <n v="3.39"/>
    <n v="10402"/>
  </r>
  <r>
    <x v="42"/>
    <x v="1"/>
    <x v="117"/>
    <n v="162"/>
    <n v="124497"/>
    <n v="9.58"/>
    <n v="26618"/>
  </r>
  <r>
    <x v="42"/>
    <x v="2"/>
    <x v="118"/>
    <n v="97"/>
    <n v="397607"/>
    <n v="5.09"/>
    <n v="7975"/>
  </r>
  <r>
    <x v="43"/>
    <x v="0"/>
    <x v="119"/>
    <n v="155"/>
    <n v="138521"/>
    <n v="7.85"/>
    <n v="19054"/>
  </r>
  <r>
    <x v="43"/>
    <x v="1"/>
    <x v="120"/>
    <n v="254"/>
    <n v="107718"/>
    <n v="9.7100000000000009"/>
    <n v="13740"/>
  </r>
  <r>
    <x v="43"/>
    <x v="2"/>
    <x v="121"/>
    <n v="58"/>
    <n v="202234"/>
    <n v="6.67"/>
    <n v="18442"/>
  </r>
  <r>
    <x v="44"/>
    <x v="0"/>
    <x v="122"/>
    <n v="80"/>
    <n v="340987"/>
    <n v="6.13"/>
    <n v="10104"/>
  </r>
  <r>
    <x v="44"/>
    <x v="1"/>
    <x v="123"/>
    <n v="208"/>
    <n v="340098"/>
    <n v="7.34"/>
    <n v="21771"/>
  </r>
  <r>
    <x v="44"/>
    <x v="2"/>
    <x v="124"/>
    <n v="131"/>
    <n v="254727"/>
    <n v="6.87"/>
    <n v="22191"/>
  </r>
  <r>
    <x v="45"/>
    <x v="0"/>
    <x v="125"/>
    <n v="82"/>
    <n v="345659"/>
    <n v="3.52"/>
    <n v="27753"/>
  </r>
  <r>
    <x v="45"/>
    <x v="1"/>
    <x v="2"/>
    <n v="137"/>
    <n v="213950"/>
    <n v="6.96"/>
    <n v="23736"/>
  </r>
  <r>
    <x v="45"/>
    <x v="2"/>
    <x v="2"/>
    <n v="281"/>
    <n v="258115"/>
    <n v="7.23"/>
    <n v="27393"/>
  </r>
  <r>
    <x v="46"/>
    <x v="0"/>
    <x v="126"/>
    <n v="232"/>
    <n v="321258"/>
    <n v="7.42"/>
    <n v="10343"/>
  </r>
  <r>
    <x v="46"/>
    <x v="1"/>
    <x v="127"/>
    <n v="261"/>
    <n v="338650"/>
    <n v="7.73"/>
    <n v="25259"/>
  </r>
  <r>
    <x v="46"/>
    <x v="2"/>
    <x v="128"/>
    <n v="224"/>
    <n v="272989"/>
    <n v="5.13"/>
    <n v="24827"/>
  </r>
  <r>
    <x v="47"/>
    <x v="0"/>
    <x v="129"/>
    <n v="117"/>
    <n v="260204"/>
    <n v="4.4000000000000004"/>
    <n v="11908"/>
  </r>
  <r>
    <x v="47"/>
    <x v="1"/>
    <x v="130"/>
    <n v="170"/>
    <n v="283278"/>
    <n v="3.49"/>
    <n v="11005"/>
  </r>
  <r>
    <x v="47"/>
    <x v="2"/>
    <x v="131"/>
    <n v="50"/>
    <n v="277445"/>
    <n v="3.57"/>
    <n v="26333"/>
  </r>
  <r>
    <x v="48"/>
    <x v="0"/>
    <x v="132"/>
    <n v="227"/>
    <n v="353781"/>
    <n v="6.41"/>
    <n v="5495"/>
  </r>
  <r>
    <x v="48"/>
    <x v="1"/>
    <x v="133"/>
    <n v="207"/>
    <n v="265019"/>
    <n v="6.04"/>
    <n v="15655"/>
  </r>
  <r>
    <x v="48"/>
    <x v="2"/>
    <x v="134"/>
    <n v="163"/>
    <n v="231925"/>
    <n v="9.18"/>
    <n v="13763"/>
  </r>
  <r>
    <x v="49"/>
    <x v="0"/>
    <x v="135"/>
    <n v="261"/>
    <n v="366149"/>
    <n v="6.54"/>
    <n v="26073"/>
  </r>
  <r>
    <x v="49"/>
    <x v="1"/>
    <x v="136"/>
    <n v="97"/>
    <n v="168375"/>
    <n v="8.66"/>
    <n v="12774"/>
  </r>
  <r>
    <x v="49"/>
    <x v="2"/>
    <x v="137"/>
    <n v="247"/>
    <n v="252763"/>
    <n v="3.89"/>
    <n v="19000"/>
  </r>
  <r>
    <x v="50"/>
    <x v="0"/>
    <x v="138"/>
    <n v="141"/>
    <n v="118393"/>
    <n v="7.95"/>
    <n v="14051"/>
  </r>
  <r>
    <x v="50"/>
    <x v="1"/>
    <x v="41"/>
    <n v="74"/>
    <n v="327012"/>
    <n v="6.66"/>
    <n v="27782"/>
  </r>
  <r>
    <x v="50"/>
    <x v="2"/>
    <x v="139"/>
    <n v="77"/>
    <n v="169688"/>
    <n v="5.25"/>
    <n v="7859"/>
  </r>
  <r>
    <x v="51"/>
    <x v="0"/>
    <x v="140"/>
    <n v="201"/>
    <n v="271935"/>
    <n v="5.07"/>
    <n v="15773"/>
  </r>
  <r>
    <x v="51"/>
    <x v="1"/>
    <x v="141"/>
    <n v="205"/>
    <n v="315981"/>
    <n v="7.62"/>
    <n v="20595"/>
  </r>
  <r>
    <x v="51"/>
    <x v="2"/>
    <x v="142"/>
    <n v="142"/>
    <n v="341016"/>
    <n v="7.44"/>
    <n v="12031"/>
  </r>
  <r>
    <x v="52"/>
    <x v="0"/>
    <x v="143"/>
    <n v="264"/>
    <n v="285164"/>
    <n v="4.8600000000000003"/>
    <n v="15128"/>
  </r>
  <r>
    <x v="52"/>
    <x v="1"/>
    <x v="144"/>
    <n v="293"/>
    <n v="116632"/>
    <n v="6.93"/>
    <n v="11826"/>
  </r>
  <r>
    <x v="52"/>
    <x v="2"/>
    <x v="145"/>
    <n v="68"/>
    <n v="115694"/>
    <n v="9.99"/>
    <n v="12562"/>
  </r>
  <r>
    <x v="53"/>
    <x v="0"/>
    <x v="146"/>
    <n v="187"/>
    <n v="64444"/>
    <n v="5.22"/>
    <n v="13013"/>
  </r>
  <r>
    <x v="53"/>
    <x v="1"/>
    <x v="147"/>
    <n v="232"/>
    <n v="362559"/>
    <n v="5.17"/>
    <n v="12937"/>
  </r>
  <r>
    <x v="53"/>
    <x v="2"/>
    <x v="148"/>
    <n v="248"/>
    <n v="226881"/>
    <n v="5.17"/>
    <n v="14534"/>
  </r>
  <r>
    <x v="54"/>
    <x v="0"/>
    <x v="149"/>
    <n v="67"/>
    <n v="283537"/>
    <n v="6.18"/>
    <n v="8182"/>
  </r>
  <r>
    <x v="54"/>
    <x v="1"/>
    <x v="150"/>
    <n v="215"/>
    <n v="62837"/>
    <n v="5.3"/>
    <n v="10615"/>
  </r>
  <r>
    <x v="54"/>
    <x v="2"/>
    <x v="151"/>
    <n v="151"/>
    <n v="182759"/>
    <n v="5.99"/>
    <n v="20109"/>
  </r>
  <r>
    <x v="55"/>
    <x v="0"/>
    <x v="152"/>
    <n v="244"/>
    <n v="279405"/>
    <n v="8.43"/>
    <n v="26024"/>
  </r>
  <r>
    <x v="55"/>
    <x v="1"/>
    <x v="153"/>
    <n v="124"/>
    <n v="257485"/>
    <n v="7.55"/>
    <n v="26730"/>
  </r>
  <r>
    <x v="55"/>
    <x v="2"/>
    <x v="154"/>
    <n v="241"/>
    <n v="154977"/>
    <n v="5.63"/>
    <n v="10563"/>
  </r>
  <r>
    <x v="56"/>
    <x v="0"/>
    <x v="155"/>
    <n v="108"/>
    <n v="216500"/>
    <n v="4.71"/>
    <n v="27575"/>
  </r>
  <r>
    <x v="56"/>
    <x v="1"/>
    <x v="156"/>
    <n v="115"/>
    <n v="102102"/>
    <n v="5.28"/>
    <n v="14479"/>
  </r>
  <r>
    <x v="56"/>
    <x v="2"/>
    <x v="113"/>
    <n v="97"/>
    <n v="92025"/>
    <n v="5.95"/>
    <n v="15915"/>
  </r>
  <r>
    <x v="57"/>
    <x v="0"/>
    <x v="157"/>
    <n v="143"/>
    <n v="247965"/>
    <n v="9.98"/>
    <n v="12767"/>
  </r>
  <r>
    <x v="57"/>
    <x v="1"/>
    <x v="158"/>
    <n v="122"/>
    <n v="387352"/>
    <n v="9.93"/>
    <n v="12170"/>
  </r>
  <r>
    <x v="57"/>
    <x v="2"/>
    <x v="159"/>
    <n v="246"/>
    <n v="253985"/>
    <n v="9.08"/>
    <n v="7245"/>
  </r>
  <r>
    <x v="58"/>
    <x v="0"/>
    <x v="57"/>
    <n v="183"/>
    <n v="129640"/>
    <n v="7.98"/>
    <n v="12985"/>
  </r>
  <r>
    <x v="58"/>
    <x v="1"/>
    <x v="160"/>
    <n v="242"/>
    <n v="281913"/>
    <n v="9.6199999999999992"/>
    <n v="16377"/>
  </r>
  <r>
    <x v="58"/>
    <x v="2"/>
    <x v="161"/>
    <n v="159"/>
    <n v="360770"/>
    <n v="8.7100000000000009"/>
    <n v="11453"/>
  </r>
  <r>
    <x v="59"/>
    <x v="0"/>
    <x v="162"/>
    <n v="246"/>
    <n v="127273"/>
    <n v="6.69"/>
    <n v="12323"/>
  </r>
  <r>
    <x v="59"/>
    <x v="1"/>
    <x v="163"/>
    <n v="150"/>
    <n v="189622"/>
    <n v="4.25"/>
    <n v="11911"/>
  </r>
  <r>
    <x v="59"/>
    <x v="2"/>
    <x v="164"/>
    <n v="107"/>
    <n v="350949"/>
    <n v="4.9800000000000004"/>
    <n v="27809"/>
  </r>
  <r>
    <x v="60"/>
    <x v="0"/>
    <x v="165"/>
    <n v="213"/>
    <n v="121431"/>
    <n v="4.97"/>
    <n v="21464"/>
  </r>
  <r>
    <x v="60"/>
    <x v="1"/>
    <x v="121"/>
    <n v="143"/>
    <n v="116742"/>
    <n v="3.71"/>
    <n v="27126"/>
  </r>
  <r>
    <x v="60"/>
    <x v="2"/>
    <x v="88"/>
    <n v="103"/>
    <n v="81184"/>
    <n v="7.79"/>
    <n v="10681"/>
  </r>
  <r>
    <x v="61"/>
    <x v="0"/>
    <x v="166"/>
    <n v="282"/>
    <n v="87126"/>
    <n v="4.96"/>
    <n v="5413"/>
  </r>
  <r>
    <x v="61"/>
    <x v="1"/>
    <x v="167"/>
    <n v="141"/>
    <n v="267546"/>
    <n v="8.58"/>
    <n v="25058"/>
  </r>
  <r>
    <x v="61"/>
    <x v="2"/>
    <x v="17"/>
    <n v="93"/>
    <n v="133082"/>
    <n v="8.51"/>
    <n v="18303"/>
  </r>
  <r>
    <x v="62"/>
    <x v="0"/>
    <x v="168"/>
    <n v="184"/>
    <n v="340557"/>
    <n v="5.41"/>
    <n v="5526"/>
  </r>
  <r>
    <x v="62"/>
    <x v="1"/>
    <x v="169"/>
    <n v="236"/>
    <n v="116472"/>
    <n v="8.7200000000000006"/>
    <n v="17460"/>
  </r>
  <r>
    <x v="62"/>
    <x v="2"/>
    <x v="170"/>
    <n v="258"/>
    <n v="113412"/>
    <n v="7.71"/>
    <n v="14475"/>
  </r>
  <r>
    <x v="63"/>
    <x v="0"/>
    <x v="171"/>
    <n v="208"/>
    <n v="157547"/>
    <n v="8.35"/>
    <n v="20162"/>
  </r>
  <r>
    <x v="63"/>
    <x v="1"/>
    <x v="172"/>
    <n v="98"/>
    <n v="354816"/>
    <n v="4.03"/>
    <n v="17103"/>
  </r>
  <r>
    <x v="63"/>
    <x v="2"/>
    <x v="173"/>
    <n v="97"/>
    <n v="151799"/>
    <n v="9.3699999999999992"/>
    <n v="15461"/>
  </r>
  <r>
    <x v="64"/>
    <x v="0"/>
    <x v="148"/>
    <n v="223"/>
    <n v="143811"/>
    <n v="6.07"/>
    <n v="22103"/>
  </r>
  <r>
    <x v="64"/>
    <x v="1"/>
    <x v="174"/>
    <n v="245"/>
    <n v="296450"/>
    <n v="6.52"/>
    <n v="11625"/>
  </r>
  <r>
    <x v="64"/>
    <x v="2"/>
    <x v="70"/>
    <n v="273"/>
    <n v="144049"/>
    <n v="3.08"/>
    <n v="5281"/>
  </r>
  <r>
    <x v="65"/>
    <x v="0"/>
    <x v="175"/>
    <n v="180"/>
    <n v="272534"/>
    <n v="5.34"/>
    <n v="13424"/>
  </r>
  <r>
    <x v="65"/>
    <x v="1"/>
    <x v="176"/>
    <n v="270"/>
    <n v="82265"/>
    <n v="3.65"/>
    <n v="13140"/>
  </r>
  <r>
    <x v="65"/>
    <x v="2"/>
    <x v="177"/>
    <n v="253"/>
    <n v="313562"/>
    <n v="4.18"/>
    <n v="19538"/>
  </r>
  <r>
    <x v="66"/>
    <x v="0"/>
    <x v="178"/>
    <n v="197"/>
    <n v="89918"/>
    <n v="3.91"/>
    <n v="7881"/>
  </r>
  <r>
    <x v="66"/>
    <x v="1"/>
    <x v="179"/>
    <n v="244"/>
    <n v="348686"/>
    <n v="5.12"/>
    <n v="11418"/>
  </r>
  <r>
    <x v="67"/>
    <x v="3"/>
    <x v="180"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x v="0"/>
    <n v="1402"/>
    <n v="68"/>
    <n v="124562"/>
    <x v="0"/>
    <n v="23125"/>
  </r>
  <r>
    <d v="2024-06-03T00:00:00"/>
    <x v="1"/>
    <n v="995"/>
    <n v="86"/>
    <n v="227958"/>
    <x v="1"/>
    <n v="22788"/>
  </r>
  <r>
    <d v="2024-06-03T00:00:00"/>
    <x v="2"/>
    <n v="1472"/>
    <n v="296"/>
    <n v="370242"/>
    <x v="2"/>
    <n v="7810"/>
  </r>
  <r>
    <d v="2024-06-10T00:00:00"/>
    <x v="0"/>
    <n v="1018"/>
    <n v="90"/>
    <n v="92474"/>
    <x v="3"/>
    <n v="11966"/>
  </r>
  <r>
    <d v="2024-06-10T00:00:00"/>
    <x v="1"/>
    <n v="1461"/>
    <n v="64"/>
    <n v="328902"/>
    <x v="4"/>
    <n v="26298"/>
  </r>
  <r>
    <d v="2024-06-10T00:00:00"/>
    <x v="2"/>
    <n v="545"/>
    <n v="93"/>
    <n v="391621"/>
    <x v="5"/>
    <n v="22029"/>
  </r>
  <r>
    <d v="2024-06-17T00:00:00"/>
    <x v="0"/>
    <n v="881"/>
    <n v="291"/>
    <n v="95885"/>
    <x v="6"/>
    <n v="12391"/>
  </r>
  <r>
    <d v="2024-06-17T00:00:00"/>
    <x v="1"/>
    <n v="1414"/>
    <n v="131"/>
    <n v="245947"/>
    <x v="7"/>
    <n v="14477"/>
  </r>
  <r>
    <d v="2024-06-17T00:00:00"/>
    <x v="2"/>
    <n v="1472"/>
    <n v="170"/>
    <n v="250428"/>
    <x v="8"/>
    <n v="25040"/>
  </r>
  <r>
    <d v="2024-06-24T00:00:00"/>
    <x v="0"/>
    <n v="809"/>
    <n v="197"/>
    <n v="87186"/>
    <x v="9"/>
    <n v="22619"/>
  </r>
  <r>
    <d v="2024-06-24T00:00:00"/>
    <x v="1"/>
    <n v="1371"/>
    <n v="250"/>
    <n v="128620"/>
    <x v="10"/>
    <n v="12399"/>
  </r>
  <r>
    <d v="2024-06-24T00:00:00"/>
    <x v="2"/>
    <n v="844"/>
    <n v="144"/>
    <n v="126015"/>
    <x v="11"/>
    <n v="22456"/>
  </r>
  <r>
    <d v="2024-07-01T00:00:00"/>
    <x v="0"/>
    <n v="786"/>
    <n v="72"/>
    <n v="178615"/>
    <x v="12"/>
    <n v="19328"/>
  </r>
  <r>
    <d v="2024-07-01T00:00:00"/>
    <x v="1"/>
    <n v="845"/>
    <n v="250"/>
    <n v="218228"/>
    <x v="13"/>
    <n v="21107"/>
  </r>
  <r>
    <d v="2024-07-01T00:00:00"/>
    <x v="2"/>
    <n v="1218"/>
    <n v="101"/>
    <n v="300397"/>
    <x v="14"/>
    <n v="12277"/>
  </r>
  <r>
    <d v="2024-07-08T00:00:00"/>
    <x v="0"/>
    <n v="797"/>
    <n v="130"/>
    <n v="340121"/>
    <x v="15"/>
    <n v="11684"/>
  </r>
  <r>
    <d v="2024-07-08T00:00:00"/>
    <x v="1"/>
    <n v="1471"/>
    <n v="100"/>
    <n v="76866"/>
    <x v="16"/>
    <n v="14412"/>
  </r>
  <r>
    <d v="2024-07-08T00:00:00"/>
    <x v="2"/>
    <n v="1253"/>
    <n v="136"/>
    <n v="193131"/>
    <x v="17"/>
    <n v="15924"/>
  </r>
  <r>
    <d v="2024-07-15T00:00:00"/>
    <x v="0"/>
    <n v="616"/>
    <n v="257"/>
    <n v="169665"/>
    <x v="18"/>
    <n v="12390"/>
  </r>
  <r>
    <d v="2024-07-15T00:00:00"/>
    <x v="1"/>
    <n v="1308"/>
    <n v="210"/>
    <n v="263729"/>
    <x v="19"/>
    <n v="25742"/>
  </r>
  <r>
    <d v="2024-07-15T00:00:00"/>
    <x v="2"/>
    <n v="981"/>
    <n v="69"/>
    <n v="206921"/>
    <x v="20"/>
    <n v="10495"/>
  </r>
  <r>
    <d v="2024-07-22T00:00:00"/>
    <x v="0"/>
    <n v="866"/>
    <n v="74"/>
    <n v="204121"/>
    <x v="21"/>
    <n v="7797"/>
  </r>
  <r>
    <d v="2024-07-22T00:00:00"/>
    <x v="1"/>
    <n v="547"/>
    <n v="183"/>
    <n v="266350"/>
    <x v="22"/>
    <n v="15595"/>
  </r>
  <r>
    <d v="2024-07-22T00:00:00"/>
    <x v="2"/>
    <n v="1241"/>
    <n v="116"/>
    <n v="380606"/>
    <x v="23"/>
    <n v="24617"/>
  </r>
  <r>
    <d v="2024-07-29T00:00:00"/>
    <x v="0"/>
    <n v="973"/>
    <n v="104"/>
    <n v="376358"/>
    <x v="24"/>
    <n v="9847"/>
  </r>
  <r>
    <d v="2024-07-29T00:00:00"/>
    <x v="1"/>
    <n v="611"/>
    <n v="197"/>
    <n v="79423"/>
    <x v="25"/>
    <n v="13644"/>
  </r>
  <r>
    <d v="2024-07-29T00:00:00"/>
    <x v="2"/>
    <n v="983"/>
    <n v="134"/>
    <n v="352178"/>
    <x v="26"/>
    <n v="11421"/>
  </r>
  <r>
    <d v="2024-08-05T00:00:00"/>
    <x v="0"/>
    <n v="1449"/>
    <n v="96"/>
    <n v="200636"/>
    <x v="0"/>
    <n v="15613"/>
  </r>
  <r>
    <d v="2024-08-05T00:00:00"/>
    <x v="1"/>
    <n v="752"/>
    <n v="170"/>
    <n v="132756"/>
    <x v="27"/>
    <n v="23900"/>
  </r>
  <r>
    <d v="2024-08-05T00:00:00"/>
    <x v="2"/>
    <n v="937"/>
    <n v="179"/>
    <n v="318098"/>
    <x v="28"/>
    <n v="5836"/>
  </r>
  <r>
    <d v="2024-08-12T00:00:00"/>
    <x v="0"/>
    <n v="1060"/>
    <n v="83"/>
    <n v="68724"/>
    <x v="29"/>
    <n v="5624"/>
  </r>
  <r>
    <d v="2024-08-12T00:00:00"/>
    <x v="1"/>
    <n v="1456"/>
    <n v="265"/>
    <n v="115505"/>
    <x v="30"/>
    <n v="10311"/>
  </r>
  <r>
    <d v="2024-08-12T00:00:00"/>
    <x v="2"/>
    <n v="1109"/>
    <n v="205"/>
    <n v="276722"/>
    <x v="31"/>
    <n v="8274"/>
  </r>
  <r>
    <d v="2024-08-19T00:00:00"/>
    <x v="0"/>
    <n v="1002"/>
    <n v="93"/>
    <n v="353538"/>
    <x v="32"/>
    <n v="6031"/>
  </r>
  <r>
    <d v="2024-08-19T00:00:00"/>
    <x v="1"/>
    <n v="571"/>
    <n v="189"/>
    <n v="61445"/>
    <x v="33"/>
    <n v="27829"/>
  </r>
  <r>
    <d v="2024-08-19T00:00:00"/>
    <x v="2"/>
    <n v="1240"/>
    <n v="231"/>
    <n v="165035"/>
    <x v="34"/>
    <n v="18267"/>
  </r>
  <r>
    <d v="2024-08-26T00:00:00"/>
    <x v="0"/>
    <n v="1154"/>
    <n v="132"/>
    <n v="194595"/>
    <x v="35"/>
    <n v="26624"/>
  </r>
  <r>
    <d v="2024-08-26T00:00:00"/>
    <x v="1"/>
    <n v="537"/>
    <n v="275"/>
    <n v="236238"/>
    <x v="36"/>
    <n v="26644"/>
  </r>
  <r>
    <d v="2024-08-26T00:00:00"/>
    <x v="2"/>
    <n v="1456"/>
    <n v="290"/>
    <n v="271044"/>
    <x v="37"/>
    <n v="13051"/>
  </r>
  <r>
    <d v="2024-09-02T00:00:00"/>
    <x v="0"/>
    <n v="721"/>
    <n v="206"/>
    <n v="334887"/>
    <x v="34"/>
    <n v="14217"/>
  </r>
  <r>
    <d v="2024-09-02T00:00:00"/>
    <x v="1"/>
    <n v="1098"/>
    <n v="142"/>
    <n v="359150"/>
    <x v="38"/>
    <n v="16385"/>
  </r>
  <r>
    <d v="2024-09-02T00:00:00"/>
    <x v="2"/>
    <n v="1096"/>
    <n v="65"/>
    <n v="358295"/>
    <x v="39"/>
    <n v="24548"/>
  </r>
  <r>
    <d v="2024-09-09T00:00:00"/>
    <x v="0"/>
    <n v="912"/>
    <n v="275"/>
    <n v="368454"/>
    <x v="40"/>
    <n v="9195"/>
  </r>
  <r>
    <d v="2024-09-09T00:00:00"/>
    <x v="1"/>
    <n v="1430"/>
    <n v="162"/>
    <n v="269082"/>
    <x v="41"/>
    <n v="18071"/>
  </r>
  <r>
    <d v="2024-09-09T00:00:00"/>
    <x v="2"/>
    <n v="854"/>
    <n v="129"/>
    <n v="310903"/>
    <x v="42"/>
    <n v="16875"/>
  </r>
  <r>
    <d v="2024-09-16T00:00:00"/>
    <x v="0"/>
    <n v="681"/>
    <n v="210"/>
    <n v="248581"/>
    <x v="43"/>
    <n v="9567"/>
  </r>
  <r>
    <d v="2024-09-16T00:00:00"/>
    <x v="1"/>
    <n v="1373"/>
    <n v="82"/>
    <n v="371015"/>
    <x v="44"/>
    <n v="20306"/>
  </r>
  <r>
    <d v="2024-09-16T00:00:00"/>
    <x v="2"/>
    <n v="685"/>
    <n v="285"/>
    <n v="177452"/>
    <x v="45"/>
    <n v="21134"/>
  </r>
  <r>
    <d v="2024-09-23T00:00:00"/>
    <x v="0"/>
    <n v="1290"/>
    <n v="177"/>
    <n v="80745"/>
    <x v="46"/>
    <n v="26872"/>
  </r>
  <r>
    <d v="2024-09-23T00:00:00"/>
    <x v="1"/>
    <n v="1437"/>
    <n v="239"/>
    <n v="362441"/>
    <x v="47"/>
    <n v="10253"/>
  </r>
  <r>
    <d v="2024-09-23T00:00:00"/>
    <x v="2"/>
    <n v="769"/>
    <n v="295"/>
    <n v="344771"/>
    <x v="48"/>
    <n v="23963"/>
  </r>
  <r>
    <d v="2024-09-30T00:00:00"/>
    <x v="0"/>
    <n v="1416"/>
    <n v="284"/>
    <n v="374952"/>
    <x v="49"/>
    <n v="11335"/>
  </r>
  <r>
    <d v="2024-09-30T00:00:00"/>
    <x v="1"/>
    <n v="998"/>
    <n v="154"/>
    <n v="179781"/>
    <x v="50"/>
    <n v="12115"/>
  </r>
  <r>
    <d v="2024-09-30T00:00:00"/>
    <x v="2"/>
    <n v="1421"/>
    <n v="246"/>
    <n v="358581"/>
    <x v="51"/>
    <n v="24358"/>
  </r>
  <r>
    <d v="2024-10-07T00:00:00"/>
    <x v="0"/>
    <n v="764"/>
    <n v="205"/>
    <n v="319294"/>
    <x v="52"/>
    <n v="12181"/>
  </r>
  <r>
    <d v="2024-10-07T00:00:00"/>
    <x v="1"/>
    <n v="678"/>
    <n v="124"/>
    <n v="192022"/>
    <x v="53"/>
    <n v="17729"/>
  </r>
  <r>
    <d v="2024-10-07T00:00:00"/>
    <x v="2"/>
    <n v="1328"/>
    <n v="103"/>
    <n v="151462"/>
    <x v="54"/>
    <n v="10881"/>
  </r>
  <r>
    <d v="2024-10-14T00:00:00"/>
    <x v="0"/>
    <n v="1161"/>
    <n v="269"/>
    <n v="188193"/>
    <x v="55"/>
    <n v="18576"/>
  </r>
  <r>
    <d v="2024-10-14T00:00:00"/>
    <x v="1"/>
    <n v="588"/>
    <n v="52"/>
    <n v="292040"/>
    <x v="56"/>
    <n v="9383"/>
  </r>
  <r>
    <d v="2024-10-14T00:00:00"/>
    <x v="2"/>
    <n v="1457"/>
    <n v="215"/>
    <n v="325325"/>
    <x v="50"/>
    <n v="14178"/>
  </r>
  <r>
    <d v="2024-10-21T00:00:00"/>
    <x v="0"/>
    <n v="1190"/>
    <n v="242"/>
    <n v="86849"/>
    <x v="48"/>
    <n v="21254"/>
  </r>
  <r>
    <d v="2024-10-21T00:00:00"/>
    <x v="1"/>
    <n v="886"/>
    <n v="124"/>
    <n v="141161"/>
    <x v="57"/>
    <n v="14215"/>
  </r>
  <r>
    <d v="2024-10-21T00:00:00"/>
    <x v="2"/>
    <n v="1237"/>
    <n v="155"/>
    <n v="149916"/>
    <x v="58"/>
    <n v="16921"/>
  </r>
  <r>
    <d v="2024-10-28T00:00:00"/>
    <x v="0"/>
    <n v="1435"/>
    <n v="261"/>
    <n v="308533"/>
    <x v="13"/>
    <n v="25130"/>
  </r>
  <r>
    <d v="2024-10-28T00:00:00"/>
    <x v="1"/>
    <n v="746"/>
    <n v="282"/>
    <n v="293894"/>
    <x v="59"/>
    <n v="25537"/>
  </r>
  <r>
    <d v="2024-10-28T00:00:00"/>
    <x v="2"/>
    <n v="759"/>
    <n v="216"/>
    <n v="147656"/>
    <x v="60"/>
    <n v="24943"/>
  </r>
  <r>
    <d v="2024-11-04T00:00:00"/>
    <x v="0"/>
    <n v="1437"/>
    <n v="235"/>
    <n v="326791"/>
    <x v="61"/>
    <n v="14563"/>
  </r>
  <r>
    <d v="2024-11-04T00:00:00"/>
    <x v="1"/>
    <n v="1463"/>
    <n v="73"/>
    <n v="348877"/>
    <x v="62"/>
    <n v="26273"/>
  </r>
  <r>
    <d v="2024-11-04T00:00:00"/>
    <x v="2"/>
    <n v="1208"/>
    <n v="224"/>
    <n v="122730"/>
    <x v="63"/>
    <n v="10858"/>
  </r>
  <r>
    <d v="2024-11-11T00:00:00"/>
    <x v="0"/>
    <n v="1391"/>
    <n v="187"/>
    <n v="306508"/>
    <x v="64"/>
    <n v="25038"/>
  </r>
  <r>
    <d v="2024-11-11T00:00:00"/>
    <x v="1"/>
    <n v="655"/>
    <n v="123"/>
    <n v="202472"/>
    <x v="65"/>
    <n v="9092"/>
  </r>
  <r>
    <d v="2024-11-11T00:00:00"/>
    <x v="2"/>
    <n v="1148"/>
    <n v="90"/>
    <n v="227249"/>
    <x v="66"/>
    <n v="17662"/>
  </r>
  <r>
    <d v="2024-11-18T00:00:00"/>
    <x v="0"/>
    <n v="946"/>
    <n v="270"/>
    <n v="246567"/>
    <x v="67"/>
    <n v="5924"/>
  </r>
  <r>
    <d v="2024-11-18T00:00:00"/>
    <x v="1"/>
    <n v="791"/>
    <n v="214"/>
    <n v="114738"/>
    <x v="68"/>
    <n v="25347"/>
  </r>
  <r>
    <d v="2024-11-18T00:00:00"/>
    <x v="2"/>
    <n v="793"/>
    <n v="111"/>
    <n v="333500"/>
    <x v="69"/>
    <n v="8910"/>
  </r>
  <r>
    <d v="2024-11-25T00:00:00"/>
    <x v="0"/>
    <n v="663"/>
    <n v="213"/>
    <n v="352677"/>
    <x v="70"/>
    <n v="20438"/>
  </r>
  <r>
    <d v="2024-11-25T00:00:00"/>
    <x v="1"/>
    <n v="954"/>
    <n v="271"/>
    <n v="160936"/>
    <x v="71"/>
    <n v="8760"/>
  </r>
  <r>
    <d v="2024-11-25T00:00:00"/>
    <x v="2"/>
    <n v="1313"/>
    <n v="159"/>
    <n v="197183"/>
    <x v="72"/>
    <n v="6625"/>
  </r>
  <r>
    <d v="2024-12-02T00:00:00"/>
    <x v="0"/>
    <n v="895"/>
    <n v="87"/>
    <n v="171271"/>
    <x v="73"/>
    <n v="23329"/>
  </r>
  <r>
    <d v="2024-12-02T00:00:00"/>
    <x v="1"/>
    <n v="1027"/>
    <n v="156"/>
    <n v="111293"/>
    <x v="74"/>
    <n v="7299"/>
  </r>
  <r>
    <d v="2024-12-02T00:00:00"/>
    <x v="2"/>
    <n v="990"/>
    <n v="286"/>
    <n v="351493"/>
    <x v="75"/>
    <n v="14496"/>
  </r>
  <r>
    <d v="2024-12-09T00:00:00"/>
    <x v="0"/>
    <n v="875"/>
    <n v="264"/>
    <n v="345631"/>
    <x v="76"/>
    <n v="25703"/>
  </r>
  <r>
    <d v="2024-12-09T00:00:00"/>
    <x v="1"/>
    <n v="599"/>
    <n v="194"/>
    <n v="105622"/>
    <x v="77"/>
    <n v="15108"/>
  </r>
  <r>
    <d v="2024-12-09T00:00:00"/>
    <x v="2"/>
    <n v="630"/>
    <n v="248"/>
    <n v="119054"/>
    <x v="78"/>
    <n v="18867"/>
  </r>
  <r>
    <d v="2024-12-16T00:00:00"/>
    <x v="0"/>
    <n v="1350"/>
    <n v="233"/>
    <n v="171670"/>
    <x v="67"/>
    <n v="17574"/>
  </r>
  <r>
    <d v="2024-12-16T00:00:00"/>
    <x v="1"/>
    <n v="632"/>
    <n v="155"/>
    <n v="170432"/>
    <x v="79"/>
    <n v="12840"/>
  </r>
  <r>
    <d v="2024-12-16T00:00:00"/>
    <x v="2"/>
    <n v="1182"/>
    <n v="83"/>
    <n v="140300"/>
    <x v="80"/>
    <n v="21079"/>
  </r>
  <r>
    <d v="2024-12-23T00:00:00"/>
    <x v="0"/>
    <n v="661"/>
    <n v="94"/>
    <n v="116538"/>
    <x v="81"/>
    <n v="23486"/>
  </r>
  <r>
    <d v="2024-12-23T00:00:00"/>
    <x v="1"/>
    <n v="1360"/>
    <n v="227"/>
    <n v="176902"/>
    <x v="40"/>
    <n v="5960"/>
  </r>
  <r>
    <d v="2024-12-23T00:00:00"/>
    <x v="2"/>
    <n v="935"/>
    <n v="85"/>
    <n v="326821"/>
    <x v="82"/>
    <n v="13301"/>
  </r>
  <r>
    <d v="2024-12-30T00:00:00"/>
    <x v="0"/>
    <n v="664"/>
    <n v="251"/>
    <n v="240598"/>
    <x v="83"/>
    <n v="10563"/>
  </r>
  <r>
    <d v="2024-12-30T00:00:00"/>
    <x v="1"/>
    <n v="1490"/>
    <n v="103"/>
    <n v="373274"/>
    <x v="84"/>
    <n v="19949"/>
  </r>
  <r>
    <d v="2024-12-30T00:00:00"/>
    <x v="2"/>
    <n v="601"/>
    <n v="64"/>
    <n v="123272"/>
    <x v="85"/>
    <n v="14273"/>
  </r>
  <r>
    <d v="2025-01-06T00:00:00"/>
    <x v="0"/>
    <n v="613"/>
    <n v="170"/>
    <n v="139266"/>
    <x v="86"/>
    <n v="9247"/>
  </r>
  <r>
    <d v="2025-01-06T00:00:00"/>
    <x v="1"/>
    <n v="1340"/>
    <n v="57"/>
    <n v="155927"/>
    <x v="87"/>
    <n v="11972"/>
  </r>
  <r>
    <d v="2025-01-06T00:00:00"/>
    <x v="2"/>
    <n v="953"/>
    <n v="228"/>
    <n v="258398"/>
    <x v="88"/>
    <n v="13314"/>
  </r>
  <r>
    <d v="2025-01-13T00:00:00"/>
    <x v="0"/>
    <n v="532"/>
    <n v="65"/>
    <n v="338561"/>
    <x v="89"/>
    <n v="14749"/>
  </r>
  <r>
    <d v="2025-01-13T00:00:00"/>
    <x v="1"/>
    <n v="1414"/>
    <n v="60"/>
    <n v="341856"/>
    <x v="43"/>
    <n v="6868"/>
  </r>
  <r>
    <d v="2025-01-13T00:00:00"/>
    <x v="2"/>
    <n v="685"/>
    <n v="165"/>
    <n v="175860"/>
    <x v="90"/>
    <n v="6027"/>
  </r>
  <r>
    <d v="2025-01-20T00:00:00"/>
    <x v="0"/>
    <n v="601"/>
    <n v="159"/>
    <n v="327722"/>
    <x v="91"/>
    <n v="25267"/>
  </r>
  <r>
    <d v="2025-01-20T00:00:00"/>
    <x v="1"/>
    <n v="841"/>
    <n v="295"/>
    <n v="271638"/>
    <x v="92"/>
    <n v="5900"/>
  </r>
  <r>
    <d v="2025-01-20T00:00:00"/>
    <x v="2"/>
    <n v="1105"/>
    <n v="261"/>
    <n v="333851"/>
    <x v="40"/>
    <n v="11181"/>
  </r>
  <r>
    <d v="2025-01-27T00:00:00"/>
    <x v="0"/>
    <n v="566"/>
    <n v="225"/>
    <n v="368984"/>
    <x v="93"/>
    <n v="9592"/>
  </r>
  <r>
    <d v="2025-01-27T00:00:00"/>
    <x v="1"/>
    <n v="1149"/>
    <n v="280"/>
    <n v="167310"/>
    <x v="94"/>
    <n v="5291"/>
  </r>
  <r>
    <d v="2025-01-27T00:00:00"/>
    <x v="2"/>
    <n v="819"/>
    <n v="101"/>
    <n v="194811"/>
    <x v="95"/>
    <n v="22244"/>
  </r>
  <r>
    <d v="2025-02-03T00:00:00"/>
    <x v="0"/>
    <n v="795"/>
    <n v="60"/>
    <n v="314982"/>
    <x v="96"/>
    <n v="6824"/>
  </r>
  <r>
    <d v="2025-02-03T00:00:00"/>
    <x v="1"/>
    <n v="681"/>
    <n v="158"/>
    <n v="75960"/>
    <x v="97"/>
    <n v="24112"/>
  </r>
  <r>
    <d v="2025-02-03T00:00:00"/>
    <x v="2"/>
    <n v="534"/>
    <n v="112"/>
    <n v="360759"/>
    <x v="98"/>
    <n v="25478"/>
  </r>
  <r>
    <d v="2025-02-10T00:00:00"/>
    <x v="0"/>
    <n v="1066"/>
    <n v="151"/>
    <n v="297090"/>
    <x v="99"/>
    <n v="11235"/>
  </r>
  <r>
    <d v="2025-02-10T00:00:00"/>
    <x v="1"/>
    <n v="1270"/>
    <n v="162"/>
    <n v="92040"/>
    <x v="100"/>
    <n v="6120"/>
  </r>
  <r>
    <d v="2025-02-10T00:00:00"/>
    <x v="2"/>
    <n v="536"/>
    <n v="198"/>
    <n v="174610"/>
    <x v="101"/>
    <n v="20572"/>
  </r>
  <r>
    <d v="2025-02-17T00:00:00"/>
    <x v="0"/>
    <n v="819"/>
    <n v="95"/>
    <n v="177376"/>
    <x v="102"/>
    <n v="14975"/>
  </r>
  <r>
    <d v="2025-02-17T00:00:00"/>
    <x v="1"/>
    <n v="681"/>
    <n v="218"/>
    <n v="198882"/>
    <x v="103"/>
    <n v="22234"/>
  </r>
  <r>
    <d v="2025-02-17T00:00:00"/>
    <x v="2"/>
    <n v="646"/>
    <n v="290"/>
    <n v="336383"/>
    <x v="104"/>
    <n v="6532"/>
  </r>
  <r>
    <d v="2025-02-24T00:00:00"/>
    <x v="0"/>
    <n v="645"/>
    <n v="267"/>
    <n v="346890"/>
    <x v="105"/>
    <n v="24858"/>
  </r>
  <r>
    <d v="2025-02-24T00:00:00"/>
    <x v="1"/>
    <n v="886"/>
    <n v="250"/>
    <n v="168170"/>
    <x v="106"/>
    <n v="13883"/>
  </r>
  <r>
    <d v="2025-02-24T00:00:00"/>
    <x v="2"/>
    <n v="978"/>
    <n v="279"/>
    <n v="368872"/>
    <x v="107"/>
    <n v="18654"/>
  </r>
  <r>
    <d v="2025-03-03T00:00:00"/>
    <x v="0"/>
    <n v="1444"/>
    <n v="165"/>
    <n v="116436"/>
    <x v="108"/>
    <n v="25234"/>
  </r>
  <r>
    <d v="2025-03-03T00:00:00"/>
    <x v="1"/>
    <n v="1234"/>
    <n v="228"/>
    <n v="127502"/>
    <x v="109"/>
    <n v="6772"/>
  </r>
  <r>
    <d v="2025-03-03T00:00:00"/>
    <x v="2"/>
    <n v="665"/>
    <n v="187"/>
    <n v="274567"/>
    <x v="110"/>
    <n v="22428"/>
  </r>
  <r>
    <d v="2025-03-10T00:00:00"/>
    <x v="0"/>
    <n v="631"/>
    <n v="86"/>
    <n v="295090"/>
    <x v="111"/>
    <n v="11911"/>
  </r>
  <r>
    <d v="2025-03-10T00:00:00"/>
    <x v="1"/>
    <n v="1159"/>
    <n v="154"/>
    <n v="194994"/>
    <x v="112"/>
    <n v="21900"/>
  </r>
  <r>
    <d v="2025-03-10T00:00:00"/>
    <x v="2"/>
    <n v="950"/>
    <n v="185"/>
    <n v="340750"/>
    <x v="113"/>
    <n v="25542"/>
  </r>
  <r>
    <d v="2025-03-17T00:00:00"/>
    <x v="0"/>
    <n v="693"/>
    <n v="129"/>
    <n v="296031"/>
    <x v="114"/>
    <n v="7140"/>
  </r>
  <r>
    <d v="2025-03-17T00:00:00"/>
    <x v="1"/>
    <n v="576"/>
    <n v="80"/>
    <n v="345688"/>
    <x v="115"/>
    <n v="20474"/>
  </r>
  <r>
    <d v="2025-03-17T00:00:00"/>
    <x v="2"/>
    <n v="1274"/>
    <n v="146"/>
    <n v="263488"/>
    <x v="50"/>
    <n v="8698"/>
  </r>
  <r>
    <d v="2025-03-24T00:00:00"/>
    <x v="0"/>
    <n v="818"/>
    <n v="253"/>
    <n v="184911"/>
    <x v="116"/>
    <n v="10402"/>
  </r>
  <r>
    <d v="2025-03-24T00:00:00"/>
    <x v="1"/>
    <n v="975"/>
    <n v="162"/>
    <n v="124497"/>
    <x v="50"/>
    <n v="26618"/>
  </r>
  <r>
    <d v="2025-03-24T00:00:00"/>
    <x v="2"/>
    <n v="1398"/>
    <n v="97"/>
    <n v="397607"/>
    <x v="117"/>
    <n v="7975"/>
  </r>
  <r>
    <d v="2025-03-31T00:00:00"/>
    <x v="0"/>
    <n v="591"/>
    <n v="155"/>
    <n v="138521"/>
    <x v="101"/>
    <n v="19054"/>
  </r>
  <r>
    <d v="2025-03-31T00:00:00"/>
    <x v="1"/>
    <n v="1232"/>
    <n v="254"/>
    <n v="107718"/>
    <x v="72"/>
    <n v="13740"/>
  </r>
  <r>
    <d v="2025-03-31T00:00:00"/>
    <x v="2"/>
    <n v="1425"/>
    <n v="58"/>
    <n v="202234"/>
    <x v="118"/>
    <n v="18442"/>
  </r>
  <r>
    <d v="2025-04-07T00:00:00"/>
    <x v="0"/>
    <n v="1417"/>
    <n v="80"/>
    <n v="340987"/>
    <x v="119"/>
    <n v="10104"/>
  </r>
  <r>
    <d v="2025-04-07T00:00:00"/>
    <x v="1"/>
    <n v="1222"/>
    <n v="208"/>
    <n v="340098"/>
    <x v="55"/>
    <n v="21771"/>
  </r>
  <r>
    <d v="2025-04-07T00:00:00"/>
    <x v="2"/>
    <n v="1071"/>
    <n v="131"/>
    <n v="254727"/>
    <x v="120"/>
    <n v="22191"/>
  </r>
  <r>
    <d v="2025-04-14T00:00:00"/>
    <x v="0"/>
    <n v="772"/>
    <n v="82"/>
    <n v="345659"/>
    <x v="121"/>
    <n v="27753"/>
  </r>
  <r>
    <d v="2025-04-14T00:00:00"/>
    <x v="1"/>
    <n v="1472"/>
    <n v="137"/>
    <n v="213950"/>
    <x v="122"/>
    <n v="23736"/>
  </r>
  <r>
    <d v="2025-04-14T00:00:00"/>
    <x v="2"/>
    <n v="1472"/>
    <n v="281"/>
    <n v="258115"/>
    <x v="123"/>
    <n v="27393"/>
  </r>
  <r>
    <d v="2025-04-21T00:00:00"/>
    <x v="0"/>
    <n v="585"/>
    <n v="232"/>
    <n v="321258"/>
    <x v="124"/>
    <n v="10343"/>
  </r>
  <r>
    <d v="2025-04-21T00:00:00"/>
    <x v="1"/>
    <n v="747"/>
    <n v="261"/>
    <n v="338650"/>
    <x v="125"/>
    <n v="25259"/>
  </r>
  <r>
    <d v="2025-04-21T00:00:00"/>
    <x v="2"/>
    <n v="1113"/>
    <n v="224"/>
    <n v="272989"/>
    <x v="126"/>
    <n v="24827"/>
  </r>
  <r>
    <d v="2025-04-28T00:00:00"/>
    <x v="0"/>
    <n v="1100"/>
    <n v="117"/>
    <n v="260204"/>
    <x v="127"/>
    <n v="11908"/>
  </r>
  <r>
    <d v="2025-04-28T00:00:00"/>
    <x v="1"/>
    <n v="751"/>
    <n v="170"/>
    <n v="283278"/>
    <x v="128"/>
    <n v="11005"/>
  </r>
  <r>
    <d v="2025-04-28T00:00:00"/>
    <x v="2"/>
    <n v="864"/>
    <n v="50"/>
    <n v="277445"/>
    <x v="129"/>
    <n v="26333"/>
  </r>
  <r>
    <d v="2025-05-05T00:00:00"/>
    <x v="0"/>
    <n v="1146"/>
    <n v="227"/>
    <n v="353781"/>
    <x v="130"/>
    <n v="5495"/>
  </r>
  <r>
    <d v="2025-05-05T00:00:00"/>
    <x v="1"/>
    <n v="883"/>
    <n v="207"/>
    <n v="265019"/>
    <x v="131"/>
    <n v="15655"/>
  </r>
  <r>
    <d v="2025-05-05T00:00:00"/>
    <x v="2"/>
    <n v="622"/>
    <n v="163"/>
    <n v="231925"/>
    <x v="76"/>
    <n v="13763"/>
  </r>
  <r>
    <d v="2025-05-12T00:00:00"/>
    <x v="0"/>
    <n v="837"/>
    <n v="261"/>
    <n v="366149"/>
    <x v="132"/>
    <n v="26073"/>
  </r>
  <r>
    <d v="2025-05-12T00:00:00"/>
    <x v="1"/>
    <n v="544"/>
    <n v="97"/>
    <n v="168375"/>
    <x v="133"/>
    <n v="12774"/>
  </r>
  <r>
    <d v="2025-05-12T00:00:00"/>
    <x v="2"/>
    <n v="624"/>
    <n v="247"/>
    <n v="252763"/>
    <x v="134"/>
    <n v="19000"/>
  </r>
  <r>
    <d v="2025-05-19T00:00:00"/>
    <x v="0"/>
    <n v="1073"/>
    <n v="141"/>
    <n v="118393"/>
    <x v="135"/>
    <n v="14051"/>
  </r>
  <r>
    <d v="2025-05-19T00:00:00"/>
    <x v="1"/>
    <n v="1430"/>
    <n v="74"/>
    <n v="327012"/>
    <x v="136"/>
    <n v="27782"/>
  </r>
  <r>
    <d v="2025-05-19T00:00:00"/>
    <x v="2"/>
    <n v="1358"/>
    <n v="77"/>
    <n v="169688"/>
    <x v="137"/>
    <n v="7859"/>
  </r>
  <r>
    <d v="2025-05-26T00:00:00"/>
    <x v="0"/>
    <n v="1242"/>
    <n v="201"/>
    <n v="271935"/>
    <x v="138"/>
    <n v="15773"/>
  </r>
  <r>
    <d v="2025-05-26T00:00:00"/>
    <x v="1"/>
    <n v="1389"/>
    <n v="205"/>
    <n v="315981"/>
    <x v="139"/>
    <n v="20595"/>
  </r>
  <r>
    <d v="2025-05-26T00:00:00"/>
    <x v="2"/>
    <n v="826"/>
    <n v="142"/>
    <n v="341016"/>
    <x v="140"/>
    <n v="12031"/>
  </r>
  <r>
    <d v="2025-06-02T00:00:00"/>
    <x v="0"/>
    <n v="618"/>
    <n v="264"/>
    <n v="285164"/>
    <x v="141"/>
    <n v="15128"/>
  </r>
  <r>
    <d v="2025-06-02T00:00:00"/>
    <x v="1"/>
    <n v="1419"/>
    <n v="293"/>
    <n v="116632"/>
    <x v="142"/>
    <n v="11826"/>
  </r>
  <r>
    <d v="2025-06-02T00:00:00"/>
    <x v="2"/>
    <n v="637"/>
    <n v="68"/>
    <n v="115694"/>
    <x v="143"/>
    <n v="12562"/>
  </r>
  <r>
    <d v="2025-06-09T00:00:00"/>
    <x v="0"/>
    <n v="917"/>
    <n v="187"/>
    <n v="64444"/>
    <x v="144"/>
    <n v="13013"/>
  </r>
  <r>
    <d v="2025-06-09T00:00:00"/>
    <x v="1"/>
    <n v="810"/>
    <n v="232"/>
    <n v="362559"/>
    <x v="145"/>
    <n v="12937"/>
  </r>
  <r>
    <d v="2025-06-09T00:00:00"/>
    <x v="2"/>
    <n v="1183"/>
    <n v="248"/>
    <n v="226881"/>
    <x v="145"/>
    <n v="14534"/>
  </r>
  <r>
    <d v="2025-06-16T00:00:00"/>
    <x v="0"/>
    <n v="765"/>
    <n v="67"/>
    <n v="283537"/>
    <x v="146"/>
    <n v="8182"/>
  </r>
  <r>
    <d v="2025-06-16T00:00:00"/>
    <x v="1"/>
    <n v="540"/>
    <n v="215"/>
    <n v="62837"/>
    <x v="28"/>
    <n v="10615"/>
  </r>
  <r>
    <d v="2025-06-16T00:00:00"/>
    <x v="2"/>
    <n v="1145"/>
    <n v="151"/>
    <n v="182759"/>
    <x v="147"/>
    <n v="20109"/>
  </r>
  <r>
    <d v="2025-06-23T00:00:00"/>
    <x v="0"/>
    <n v="564"/>
    <n v="244"/>
    <n v="279405"/>
    <x v="148"/>
    <n v="26024"/>
  </r>
  <r>
    <d v="2025-06-23T00:00:00"/>
    <x v="1"/>
    <n v="668"/>
    <n v="124"/>
    <n v="257485"/>
    <x v="149"/>
    <n v="26730"/>
  </r>
  <r>
    <d v="2025-06-23T00:00:00"/>
    <x v="2"/>
    <n v="761"/>
    <n v="241"/>
    <n v="154977"/>
    <x v="150"/>
    <n v="10563"/>
  </r>
  <r>
    <d v="2025-06-30T00:00:00"/>
    <x v="0"/>
    <n v="593"/>
    <n v="108"/>
    <n v="216500"/>
    <x v="151"/>
    <n v="27575"/>
  </r>
  <r>
    <d v="2025-06-30T00:00:00"/>
    <x v="1"/>
    <n v="1349"/>
    <n v="115"/>
    <n v="102102"/>
    <x v="152"/>
    <n v="14479"/>
  </r>
  <r>
    <d v="2025-06-30T00:00:00"/>
    <x v="2"/>
    <n v="693"/>
    <n v="97"/>
    <n v="92025"/>
    <x v="153"/>
    <n v="15915"/>
  </r>
  <r>
    <d v="2025-07-07T00:00:00"/>
    <x v="0"/>
    <n v="974"/>
    <n v="143"/>
    <n v="247965"/>
    <x v="154"/>
    <n v="12767"/>
  </r>
  <r>
    <d v="2025-07-07T00:00:00"/>
    <x v="1"/>
    <n v="1155"/>
    <n v="122"/>
    <n v="387352"/>
    <x v="155"/>
    <n v="12170"/>
  </r>
  <r>
    <d v="2025-07-07T00:00:00"/>
    <x v="2"/>
    <n v="1051"/>
    <n v="246"/>
    <n v="253985"/>
    <x v="156"/>
    <n v="7245"/>
  </r>
  <r>
    <d v="2025-07-14T00:00:00"/>
    <x v="0"/>
    <n v="1457"/>
    <n v="183"/>
    <n v="129640"/>
    <x v="157"/>
    <n v="12985"/>
  </r>
  <r>
    <d v="2025-07-14T00:00:00"/>
    <x v="1"/>
    <n v="670"/>
    <n v="242"/>
    <n v="281913"/>
    <x v="158"/>
    <n v="16377"/>
  </r>
  <r>
    <d v="2025-07-14T00:00:00"/>
    <x v="2"/>
    <n v="1111"/>
    <n v="159"/>
    <n v="360770"/>
    <x v="159"/>
    <n v="11453"/>
  </r>
  <r>
    <d v="2025-07-21T00:00:00"/>
    <x v="0"/>
    <n v="1197"/>
    <n v="246"/>
    <n v="127273"/>
    <x v="160"/>
    <n v="12323"/>
  </r>
  <r>
    <d v="2025-07-21T00:00:00"/>
    <x v="1"/>
    <n v="754"/>
    <n v="150"/>
    <n v="189622"/>
    <x v="161"/>
    <n v="11911"/>
  </r>
  <r>
    <d v="2025-07-21T00:00:00"/>
    <x v="2"/>
    <n v="1246"/>
    <n v="107"/>
    <n v="350949"/>
    <x v="162"/>
    <n v="27809"/>
  </r>
  <r>
    <d v="2025-07-28T00:00:00"/>
    <x v="0"/>
    <n v="780"/>
    <n v="213"/>
    <n v="121431"/>
    <x v="163"/>
    <n v="21464"/>
  </r>
  <r>
    <d v="2025-07-28T00:00:00"/>
    <x v="1"/>
    <n v="1425"/>
    <n v="143"/>
    <n v="116742"/>
    <x v="105"/>
    <n v="27126"/>
  </r>
  <r>
    <d v="2025-07-28T00:00:00"/>
    <x v="2"/>
    <n v="1490"/>
    <n v="103"/>
    <n v="81184"/>
    <x v="87"/>
    <n v="10681"/>
  </r>
  <r>
    <d v="2025-08-04T00:00:00"/>
    <x v="0"/>
    <n v="949"/>
    <n v="282"/>
    <n v="87126"/>
    <x v="164"/>
    <n v="5413"/>
  </r>
  <r>
    <d v="2025-08-04T00:00:00"/>
    <x v="1"/>
    <n v="640"/>
    <n v="141"/>
    <n v="267546"/>
    <x v="165"/>
    <n v="25058"/>
  </r>
  <r>
    <d v="2025-08-04T00:00:00"/>
    <x v="2"/>
    <n v="616"/>
    <n v="93"/>
    <n v="133082"/>
    <x v="166"/>
    <n v="18303"/>
  </r>
  <r>
    <d v="2025-08-11T00:00:00"/>
    <x v="0"/>
    <n v="1080"/>
    <n v="184"/>
    <n v="340557"/>
    <x v="33"/>
    <n v="5526"/>
  </r>
  <r>
    <d v="2025-08-11T00:00:00"/>
    <x v="1"/>
    <n v="938"/>
    <n v="236"/>
    <n v="116472"/>
    <x v="63"/>
    <n v="17460"/>
  </r>
  <r>
    <d v="2025-08-11T00:00:00"/>
    <x v="2"/>
    <n v="1007"/>
    <n v="258"/>
    <n v="113412"/>
    <x v="109"/>
    <n v="14475"/>
  </r>
  <r>
    <d v="2025-08-18T00:00:00"/>
    <x v="0"/>
    <n v="541"/>
    <n v="208"/>
    <n v="157547"/>
    <x v="167"/>
    <n v="20162"/>
  </r>
  <r>
    <d v="2025-08-18T00:00:00"/>
    <x v="1"/>
    <n v="745"/>
    <n v="98"/>
    <n v="354816"/>
    <x v="168"/>
    <n v="17103"/>
  </r>
  <r>
    <d v="2025-08-18T00:00:00"/>
    <x v="2"/>
    <n v="936"/>
    <n v="97"/>
    <n v="151799"/>
    <x v="169"/>
    <n v="15461"/>
  </r>
  <r>
    <d v="2025-08-25T00:00:00"/>
    <x v="0"/>
    <n v="1183"/>
    <n v="223"/>
    <n v="143811"/>
    <x v="170"/>
    <n v="22103"/>
  </r>
  <r>
    <d v="2025-08-25T00:00:00"/>
    <x v="1"/>
    <n v="1413"/>
    <n v="245"/>
    <n v="296450"/>
    <x v="171"/>
    <n v="11625"/>
  </r>
  <r>
    <d v="2025-08-25T00:00:00"/>
    <x v="2"/>
    <n v="791"/>
    <n v="273"/>
    <n v="144049"/>
    <x v="172"/>
    <n v="5281"/>
  </r>
  <r>
    <d v="2025-09-01T00:00:00"/>
    <x v="0"/>
    <n v="1052"/>
    <n v="180"/>
    <n v="272534"/>
    <x v="173"/>
    <n v="13424"/>
  </r>
  <r>
    <d v="2025-09-01T00:00:00"/>
    <x v="1"/>
    <n v="572"/>
    <n v="270"/>
    <n v="82265"/>
    <x v="174"/>
    <n v="13140"/>
  </r>
  <r>
    <d v="2025-09-01T00:00:00"/>
    <x v="2"/>
    <n v="503"/>
    <n v="253"/>
    <n v="313562"/>
    <x v="175"/>
    <n v="19538"/>
  </r>
  <r>
    <d v="2025-09-08T00:00:00"/>
    <x v="0"/>
    <n v="1017"/>
    <n v="197"/>
    <n v="89918"/>
    <x v="176"/>
    <n v="7881"/>
  </r>
  <r>
    <d v="2025-09-08T00:00:00"/>
    <x v="1"/>
    <n v="860"/>
    <n v="244"/>
    <n v="348686"/>
    <x v="177"/>
    <n v="1141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1">
  <r>
    <s v="SP002"/>
    <x v="0"/>
    <d v="2025-02-01T00:00:00"/>
    <x v="0"/>
    <s v="Explore the latest podcasts now."/>
    <n v="1934"/>
    <n v="210"/>
    <n v="393"/>
    <n v="29129"/>
    <n v="73287"/>
    <n v="273"/>
    <n v="8.7095334546328396E-2"/>
    <x v="0"/>
    <s v="IndieWave"/>
  </r>
  <r>
    <s v="SP005"/>
    <x v="1"/>
    <d v="2024-04-06T00:00:00"/>
    <x v="0"/>
    <s v="Music that moves youâ€”only on Spotify."/>
    <n v="2748"/>
    <n v="145"/>
    <n v="315"/>
    <n v="24401"/>
    <n v="61182"/>
    <n v="200"/>
    <n v="0.13147002172042099"/>
    <x v="1"/>
    <s v="IndieWave"/>
  </r>
  <r>
    <s v="SP006"/>
    <x v="1"/>
    <d v="2024-06-13T00:00:00"/>
    <x v="0"/>
    <s v="Whatâ€™s your vibe today? #SpotifyHits"/>
    <n v="3882"/>
    <n v="239"/>
    <n v="275"/>
    <n v="58748"/>
    <n v="44646"/>
    <n v="149"/>
    <n v="7.4828079253761795E-2"/>
    <x v="1"/>
    <s v="IndieWave"/>
  </r>
  <r>
    <s v="SP011"/>
    <x v="2"/>
    <d v="2024-03-06T00:00:00"/>
    <x v="0"/>
    <s v="Discover fresh beats on Spotify!"/>
    <n v="1971"/>
    <n v="370"/>
    <n v="306"/>
    <n v="31316"/>
    <n v="27897"/>
    <n v="88"/>
    <n v="8.4525482181632403E-2"/>
    <x v="2"/>
    <s v="IndieWave"/>
  </r>
  <r>
    <s v="SP020"/>
    <x v="0"/>
    <d v="2024-07-05T00:00:00"/>
    <x v="0"/>
    <s v="Your weekend playlist is waiting."/>
    <n v="3753"/>
    <n v="411"/>
    <n v="308"/>
    <n v="29138"/>
    <n v="27678"/>
    <n v="90"/>
    <n v="0.15347655981879299"/>
    <x v="0"/>
    <s v="IndieWave"/>
  </r>
  <r>
    <s v="SP024"/>
    <x v="2"/>
    <d v="2024-10-18T00:00:00"/>
    <x v="0"/>
    <s v="New music just dropped. Hit play!"/>
    <n v="2607"/>
    <n v="379"/>
    <n v="180"/>
    <n v="28712"/>
    <n v="61620"/>
    <n v="174"/>
    <n v="0.11026748397882399"/>
    <x v="2"/>
    <s v="IndieWave"/>
  </r>
  <r>
    <s v="SP036"/>
    <x v="0"/>
    <d v="2024-05-04T00:00:00"/>
    <x v="0"/>
    <s v="Wrapped is here! Relive your top tracks ðŸŽ§"/>
    <n v="2274"/>
    <n v="243"/>
    <n v="222"/>
    <n v="43066"/>
    <n v="59174"/>
    <n v="80"/>
    <n v="6.3600055728416802E-2"/>
    <x v="0"/>
    <s v="IndieWave"/>
  </r>
  <r>
    <s v="SP039"/>
    <x v="0"/>
    <d v="2024-11-25T00:00:00"/>
    <x v="0"/>
    <s v="From pop to podcasts, itâ€™s all here."/>
    <n v="1341"/>
    <n v="472"/>
    <n v="238"/>
    <n v="51386"/>
    <n v="51706"/>
    <n v="133"/>
    <n v="3.9913595142645898E-2"/>
    <x v="0"/>
    <s v="IndieWave"/>
  </r>
  <r>
    <s v="SP044"/>
    <x v="0"/>
    <d v="2024-09-06T00:00:00"/>
    <x v="0"/>
    <s v="New music just dropped. Hit play!"/>
    <n v="1452"/>
    <n v="281"/>
    <n v="326"/>
    <n v="51556"/>
    <n v="62599"/>
    <n v="290"/>
    <n v="3.9937155714174902E-2"/>
    <x v="0"/>
    <s v="IndieWave"/>
  </r>
  <r>
    <s v="SP045"/>
    <x v="1"/>
    <d v="2024-07-14T00:00:00"/>
    <x v="0"/>
    <s v="Your weekend playlist is waiting."/>
    <n v="3806"/>
    <n v="114"/>
    <n v="278"/>
    <n v="36148"/>
    <n v="24209"/>
    <n v="201"/>
    <n v="0.116133672678986"/>
    <x v="1"/>
    <s v="IndieWave"/>
  </r>
  <r>
    <s v="SP046"/>
    <x v="0"/>
    <d v="2024-02-12T00:00:00"/>
    <x v="0"/>
    <s v="Explore the latest podcasts now."/>
    <n v="2923"/>
    <n v="330"/>
    <n v="250"/>
    <n v="23993"/>
    <n v="74590"/>
    <n v="92"/>
    <n v="0.146000916934106"/>
    <x v="0"/>
    <s v="IndieWave"/>
  </r>
  <r>
    <s v="SP054"/>
    <x v="0"/>
    <d v="2025-03-06T00:00:00"/>
    <x v="0"/>
    <s v="Get into the groove with our new drop!"/>
    <n v="4851"/>
    <n v="460"/>
    <n v="212"/>
    <n v="58075"/>
    <n v="59574"/>
    <n v="239"/>
    <n v="9.5101162290141997E-2"/>
    <x v="0"/>
    <s v="IndieWave"/>
  </r>
  <r>
    <s v="SP057"/>
    <x v="0"/>
    <d v="2024-01-08T00:00:00"/>
    <x v="0"/>
    <s v="Top trending tracks updated daily!"/>
    <n v="2683"/>
    <n v="405"/>
    <n v="223"/>
    <n v="31233"/>
    <n v="58106"/>
    <n v="291"/>
    <n v="0.106009669260077"/>
    <x v="0"/>
    <s v="IndieWave"/>
  </r>
  <r>
    <s v="SP058"/>
    <x v="1"/>
    <d v="2024-07-17T00:00:00"/>
    <x v="0"/>
    <s v="Top trending tracks updated daily!"/>
    <n v="3135"/>
    <n v="110"/>
    <n v="215"/>
    <n v="39192"/>
    <n v="24744"/>
    <n v="177"/>
    <n v="8.82833231271688E-2"/>
    <x v="1"/>
    <s v="IndieWave"/>
  </r>
  <r>
    <s v="SP059"/>
    <x v="1"/>
    <d v="2024-08-10T00:00:00"/>
    <x v="0"/>
    <s v="From pop to podcasts, itâ€™s all here."/>
    <n v="1105"/>
    <n v="181"/>
    <n v="55"/>
    <n v="53581"/>
    <n v="74048"/>
    <n v="220"/>
    <n v="2.50275284149232E-2"/>
    <x v="1"/>
    <s v="IndieWave"/>
  </r>
  <r>
    <s v="SP060"/>
    <x v="1"/>
    <d v="2024-04-16T00:00:00"/>
    <x v="0"/>
    <s v="Discover fresh beats on Spotify!"/>
    <n v="4674"/>
    <n v="326"/>
    <n v="62"/>
    <n v="45503"/>
    <n v="46814"/>
    <n v="116"/>
    <n v="0.111245412390392"/>
    <x v="1"/>
    <s v="IndieWave"/>
  </r>
  <r>
    <s v="SP063"/>
    <x v="2"/>
    <d v="2024-07-07T00:00:00"/>
    <x v="0"/>
    <s v="New music just dropped. Hit play!"/>
    <n v="1035"/>
    <n v="137"/>
    <n v="184"/>
    <n v="37302"/>
    <n v="68953"/>
    <n v="237"/>
    <n v="3.6351938233874899E-2"/>
    <x v="2"/>
    <s v="IndieWave"/>
  </r>
  <r>
    <s v="SP065"/>
    <x v="1"/>
    <d v="2024-05-26T00:00:00"/>
    <x v="0"/>
    <s v="From pop to podcasts, itâ€™s all here."/>
    <n v="1488"/>
    <n v="327"/>
    <n v="110"/>
    <n v="53805"/>
    <n v="30239"/>
    <n v="109"/>
    <n v="3.5777344113000598E-2"/>
    <x v="1"/>
    <s v="IndieWave"/>
  </r>
  <r>
    <s v="SP068"/>
    <x v="2"/>
    <d v="2024-03-28T00:00:00"/>
    <x v="0"/>
    <s v="Music that moves youâ€”only on Spotify."/>
    <n v="3276"/>
    <n v="421"/>
    <n v="114"/>
    <n v="20580"/>
    <n v="30324"/>
    <n v="221"/>
    <n v="0.18517978620019401"/>
    <x v="2"/>
    <s v="IndieWave"/>
  </r>
  <r>
    <s v="SP071"/>
    <x v="2"/>
    <d v="2024-01-11T00:00:00"/>
    <x v="0"/>
    <s v="Whatâ€™s your vibe today? #SpotifyHits"/>
    <n v="4218"/>
    <n v="247"/>
    <n v="183"/>
    <n v="28914"/>
    <n v="18310"/>
    <n v="135"/>
    <n v="0.16075257660648801"/>
    <x v="2"/>
    <s v="IndieWave"/>
  </r>
  <r>
    <s v="SP072"/>
    <x v="0"/>
    <d v="2024-10-11T00:00:00"/>
    <x v="0"/>
    <s v="From pop to podcasts, itâ€™s all here."/>
    <n v="1360"/>
    <n v="249"/>
    <n v="52"/>
    <n v="20368"/>
    <n v="42152"/>
    <n v="193"/>
    <n v="8.1549489395129598E-2"/>
    <x v="0"/>
    <s v="IndieWave"/>
  </r>
  <r>
    <s v="SP076"/>
    <x v="0"/>
    <d v="2024-07-14T00:00:00"/>
    <x v="0"/>
    <s v="Wrapped is here! Relive your top tracks ðŸŽ§"/>
    <n v="2464"/>
    <n v="401"/>
    <n v="78"/>
    <n v="38665"/>
    <n v="73593"/>
    <n v="207"/>
    <n v="7.6115349799560306E-2"/>
    <x v="0"/>
    <s v="IndieWave"/>
  </r>
  <r>
    <s v="SP081"/>
    <x v="2"/>
    <d v="2025-03-07T00:00:00"/>
    <x v="0"/>
    <s v="Get into the groove with our new drop!"/>
    <n v="4234"/>
    <n v="486"/>
    <n v="276"/>
    <n v="56623"/>
    <n v="41343"/>
    <n v="184"/>
    <n v="8.8232696960599002E-2"/>
    <x v="2"/>
    <s v="IndieWave"/>
  </r>
  <r>
    <s v="SP082"/>
    <x v="0"/>
    <d v="2024-08-26T00:00:00"/>
    <x v="0"/>
    <s v="Your weekend playlist is waiting."/>
    <n v="2102"/>
    <n v="181"/>
    <n v="306"/>
    <n v="43650"/>
    <n v="50079"/>
    <n v="182"/>
    <n v="5.9312714776632303E-2"/>
    <x v="0"/>
    <s v="IndieWave"/>
  </r>
  <r>
    <s v="SP091"/>
    <x v="2"/>
    <d v="2025-04-27T00:00:00"/>
    <x v="0"/>
    <s v="Explore the latest podcasts now."/>
    <n v="1165"/>
    <n v="294"/>
    <n v="163"/>
    <n v="20659"/>
    <n v="45926"/>
    <n v="111"/>
    <n v="7.8512996756861395E-2"/>
    <x v="2"/>
    <s v="IndieWave"/>
  </r>
  <r>
    <s v="SP093"/>
    <x v="0"/>
    <d v="2024-02-29T00:00:00"/>
    <x v="0"/>
    <s v="From pop to podcasts, itâ€™s all here."/>
    <n v="1100"/>
    <n v="229"/>
    <n v="312"/>
    <n v="25641"/>
    <n v="34601"/>
    <n v="169"/>
    <n v="6.3999063999063993E-2"/>
    <x v="0"/>
    <s v="IndieWave"/>
  </r>
  <r>
    <s v="SP097"/>
    <x v="0"/>
    <d v="2024-01-26T00:00:00"/>
    <x v="0"/>
    <s v="Whatâ€™s your vibe today? #SpotifyHits"/>
    <n v="3878"/>
    <n v="431"/>
    <n v="97"/>
    <n v="41763"/>
    <n v="29729"/>
    <n v="191"/>
    <n v="0.10550008380624"/>
    <x v="0"/>
    <s v="IndieWave"/>
  </r>
  <r>
    <s v="SP100"/>
    <x v="0"/>
    <d v="2024-07-21T00:00:00"/>
    <x v="0"/>
    <s v="Discover fresh beats on Spotify!"/>
    <n v="3004"/>
    <n v="415"/>
    <n v="218"/>
    <n v="36090"/>
    <n v="37073"/>
    <n v="181"/>
    <n v="0.100775838182322"/>
    <x v="0"/>
    <s v="IndieWave"/>
  </r>
  <r>
    <s v="SP107"/>
    <x v="2"/>
    <d v="2025-01-13T00:00:00"/>
    <x v="0"/>
    <s v="Music that moves youâ€”only on Spotify."/>
    <n v="4090"/>
    <n v="209"/>
    <n v="278"/>
    <n v="52853"/>
    <n v="57084"/>
    <n v="102"/>
    <n v="8.6598679355949504E-2"/>
    <x v="2"/>
    <s v="IndieWave"/>
  </r>
  <r>
    <s v="SP110"/>
    <x v="0"/>
    <d v="2024-06-26T00:00:00"/>
    <x v="0"/>
    <s v="New music just dropped. Hit play!"/>
    <n v="3253"/>
    <n v="483"/>
    <n v="336"/>
    <n v="25397"/>
    <n v="51485"/>
    <n v="131"/>
    <n v="0.160333897704453"/>
    <x v="0"/>
    <s v="IndieWave"/>
  </r>
  <r>
    <s v="SP115"/>
    <x v="0"/>
    <d v="2025-04-15T00:00:00"/>
    <x v="0"/>
    <s v="Explore the latest podcasts now."/>
    <n v="4177"/>
    <n v="489"/>
    <n v="331"/>
    <n v="57451"/>
    <n v="73793"/>
    <n v="251"/>
    <n v="8.6978468608031198E-2"/>
    <x v="0"/>
    <s v="IndieWave"/>
  </r>
  <r>
    <s v="SP120"/>
    <x v="0"/>
    <d v="2025-01-17T00:00:00"/>
    <x v="0"/>
    <s v="Top trending tracks updated daily!"/>
    <n v="2266"/>
    <n v="126"/>
    <n v="140"/>
    <n v="53759"/>
    <n v="46834"/>
    <n v="277"/>
    <n v="4.7099090384865802E-2"/>
    <x v="0"/>
    <s v="IndieWave"/>
  </r>
  <r>
    <s v="SP123"/>
    <x v="1"/>
    <d v="2024-05-12T00:00:00"/>
    <x v="0"/>
    <s v="From pop to podcasts, itâ€™s all here."/>
    <n v="2911"/>
    <n v="467"/>
    <n v="94"/>
    <n v="59083"/>
    <n v="49762"/>
    <n v="236"/>
    <n v="5.8764788517847798E-2"/>
    <x v="1"/>
    <s v="IndieWave"/>
  </r>
  <r>
    <s v="SP127"/>
    <x v="2"/>
    <d v="2024-01-28T00:00:00"/>
    <x v="0"/>
    <s v="Music that moves youâ€”only on Spotify."/>
    <n v="1456"/>
    <n v="265"/>
    <n v="137"/>
    <n v="53485"/>
    <n v="59729"/>
    <n v="145"/>
    <n v="3.4738711788351903E-2"/>
    <x v="2"/>
    <s v="IndieWave"/>
  </r>
  <r>
    <s v="SP130"/>
    <x v="1"/>
    <d v="2024-01-10T00:00:00"/>
    <x v="0"/>
    <s v="Explore the latest podcasts now."/>
    <n v="1261"/>
    <n v="190"/>
    <n v="233"/>
    <n v="59888"/>
    <n v="51449"/>
    <n v="205"/>
    <n v="2.8119155757413802E-2"/>
    <x v="1"/>
    <s v="IndieWave"/>
  </r>
  <r>
    <s v="SP131"/>
    <x v="2"/>
    <d v="2025-03-20T00:00:00"/>
    <x v="0"/>
    <s v="Your weekend playlist is waiting."/>
    <n v="1564"/>
    <n v="362"/>
    <n v="371"/>
    <n v="42075"/>
    <n v="66659"/>
    <n v="205"/>
    <n v="5.4592988710635802E-2"/>
    <x v="2"/>
    <s v="IndieWave"/>
  </r>
  <r>
    <s v="SP133"/>
    <x v="1"/>
    <d v="2024-01-27T00:00:00"/>
    <x v="0"/>
    <s v="Your weekend playlist is waiting."/>
    <n v="1976"/>
    <n v="262"/>
    <n v="218"/>
    <n v="51696"/>
    <n v="44846"/>
    <n v="139"/>
    <n v="4.7508511296812099E-2"/>
    <x v="1"/>
    <s v="IndieWave"/>
  </r>
  <r>
    <s v="SP143"/>
    <x v="0"/>
    <d v="2024-06-17T00:00:00"/>
    <x v="0"/>
    <s v="Discover fresh beats on Spotify!"/>
    <n v="4283"/>
    <n v="471"/>
    <n v="156"/>
    <n v="53004"/>
    <n v="25678"/>
    <n v="105"/>
    <n v="9.2634518149573603E-2"/>
    <x v="0"/>
    <s v="IndieWave"/>
  </r>
  <r>
    <s v="SP146"/>
    <x v="0"/>
    <d v="2025-05-22T00:00:00"/>
    <x v="0"/>
    <s v="Discover fresh beats on Spotify!"/>
    <n v="2633"/>
    <n v="318"/>
    <n v="380"/>
    <n v="40869"/>
    <n v="64474"/>
    <n v="245"/>
    <n v="8.1504318676747706E-2"/>
    <x v="0"/>
    <s v="IndieWave"/>
  </r>
  <r>
    <s v="SP149"/>
    <x v="2"/>
    <d v="2025-04-13T00:00:00"/>
    <x v="0"/>
    <s v="From pop to podcasts, itâ€™s all here."/>
    <n v="3890"/>
    <n v="408"/>
    <n v="338"/>
    <n v="56994"/>
    <n v="32621"/>
    <n v="286"/>
    <n v="8.1341895638137401E-2"/>
    <x v="2"/>
    <s v="IndieWave"/>
  </r>
  <r>
    <s v="SP152"/>
    <x v="0"/>
    <d v="2024-09-27T00:00:00"/>
    <x v="0"/>
    <s v="Discover fresh beats on Spotify!"/>
    <n v="3118"/>
    <n v="116"/>
    <n v="195"/>
    <n v="37100"/>
    <n v="62629"/>
    <n v="272"/>
    <n v="9.2425876010781699E-2"/>
    <x v="0"/>
    <s v="IndieWave"/>
  </r>
  <r>
    <s v="SP154"/>
    <x v="0"/>
    <d v="2024-11-19T00:00:00"/>
    <x v="0"/>
    <s v="Whatâ€™s your vibe today? #SpotifyHits"/>
    <n v="2525"/>
    <n v="272"/>
    <n v="294"/>
    <n v="51875"/>
    <n v="24732"/>
    <n v="92"/>
    <n v="5.9585542168674697E-2"/>
    <x v="0"/>
    <s v="IndieWave"/>
  </r>
  <r>
    <s v="SP157"/>
    <x v="1"/>
    <d v="2025-03-02T00:00:00"/>
    <x v="0"/>
    <s v="From pop to podcasts, itâ€™s all here."/>
    <n v="4425"/>
    <n v="185"/>
    <n v="162"/>
    <n v="24610"/>
    <n v="21342"/>
    <n v="158"/>
    <n v="0.19390491670052801"/>
    <x v="1"/>
    <s v="IndieWave"/>
  </r>
  <r>
    <s v="SP161"/>
    <x v="0"/>
    <d v="2025-05-26T00:00:00"/>
    <x v="0"/>
    <s v="Discover fresh beats on Spotify!"/>
    <n v="3086"/>
    <n v="148"/>
    <n v="310"/>
    <n v="22824"/>
    <n v="58103"/>
    <n v="275"/>
    <n v="0.155275148966001"/>
    <x v="0"/>
    <s v="IndieWave"/>
  </r>
  <r>
    <s v="SP166"/>
    <x v="0"/>
    <d v="2024-04-05T00:00:00"/>
    <x v="0"/>
    <s v="New music just dropped. Hit play!"/>
    <n v="4383"/>
    <n v="352"/>
    <n v="176"/>
    <n v="53239"/>
    <n v="34168"/>
    <n v="288"/>
    <n v="9.2244407295403799E-2"/>
    <x v="0"/>
    <s v="IndieWave"/>
  </r>
  <r>
    <s v="SP167"/>
    <x v="1"/>
    <d v="2025-01-27T00:00:00"/>
    <x v="0"/>
    <s v="Wrapped is here! Relive your top tracks ðŸŽ§"/>
    <n v="4294"/>
    <n v="423"/>
    <n v="93"/>
    <n v="29828"/>
    <n v="73144"/>
    <n v="298"/>
    <n v="0.16125787850341999"/>
    <x v="1"/>
    <s v="IndieWave"/>
  </r>
  <r>
    <s v="SP169"/>
    <x v="1"/>
    <d v="2025-01-03T00:00:00"/>
    <x v="0"/>
    <s v="New music just dropped. Hit play!"/>
    <n v="3782"/>
    <n v="484"/>
    <n v="144"/>
    <n v="52172"/>
    <n v="59386"/>
    <n v="175"/>
    <n v="8.4528099363643305E-2"/>
    <x v="1"/>
    <s v="IndieWave"/>
  </r>
  <r>
    <s v="SP170"/>
    <x v="2"/>
    <d v="2024-11-23T00:00:00"/>
    <x v="0"/>
    <s v="New music just dropped. Hit play!"/>
    <n v="4318"/>
    <n v="371"/>
    <n v="329"/>
    <n v="32347"/>
    <n v="68956"/>
    <n v="259"/>
    <n v="0.155130305747055"/>
    <x v="2"/>
    <s v="IndieWave"/>
  </r>
  <r>
    <s v="SP172"/>
    <x v="1"/>
    <d v="2024-04-18T00:00:00"/>
    <x v="0"/>
    <s v="Explore the latest podcasts now."/>
    <n v="4023"/>
    <n v="293"/>
    <n v="91"/>
    <n v="26795"/>
    <n v="28924"/>
    <n v="278"/>
    <n v="0.164470983392424"/>
    <x v="1"/>
    <s v="IndieWave"/>
  </r>
  <r>
    <s v="SP173"/>
    <x v="0"/>
    <d v="2024-06-04T00:00:00"/>
    <x v="0"/>
    <s v="Get into the groove with our new drop!"/>
    <n v="3948"/>
    <n v="151"/>
    <n v="249"/>
    <n v="43147"/>
    <n v="63136"/>
    <n v="230"/>
    <n v="0.100771780193293"/>
    <x v="0"/>
    <s v="IndieWave"/>
  </r>
  <r>
    <s v="SP174"/>
    <x v="1"/>
    <d v="2025-04-02T00:00:00"/>
    <x v="0"/>
    <s v="Wrapped is here! Relive your top tracks ðŸŽ§"/>
    <n v="4598"/>
    <n v="455"/>
    <n v="378"/>
    <n v="52952"/>
    <n v="58504"/>
    <n v="269"/>
    <n v="0.102564586795588"/>
    <x v="1"/>
    <s v="IndieWave"/>
  </r>
  <r>
    <s v="SP177"/>
    <x v="2"/>
    <d v="2024-11-10T00:00:00"/>
    <x v="0"/>
    <s v="Explore the latest podcasts now."/>
    <n v="4823"/>
    <n v="489"/>
    <n v="302"/>
    <n v="32470"/>
    <n v="31861"/>
    <n v="178"/>
    <n v="0.172898059747459"/>
    <x v="2"/>
    <s v="IndieWave"/>
  </r>
  <r>
    <s v="SP179"/>
    <x v="2"/>
    <d v="2024-11-19T00:00:00"/>
    <x v="0"/>
    <s v="Explore the latest podcasts now."/>
    <n v="2387"/>
    <n v="353"/>
    <n v="78"/>
    <n v="39745"/>
    <n v="69226"/>
    <n v="208"/>
    <n v="7.0902000251603994E-2"/>
    <x v="2"/>
    <s v="IndieWave"/>
  </r>
  <r>
    <s v="SP181"/>
    <x v="2"/>
    <d v="2024-03-19T00:00:00"/>
    <x v="0"/>
    <s v="From pop to podcasts, itâ€™s all here."/>
    <n v="2191"/>
    <n v="288"/>
    <n v="83"/>
    <n v="59606"/>
    <n v="24765"/>
    <n v="281"/>
    <n v="4.2982250109049401E-2"/>
    <x v="2"/>
    <s v="IndieWave"/>
  </r>
  <r>
    <s v="SP183"/>
    <x v="2"/>
    <d v="2024-07-23T00:00:00"/>
    <x v="0"/>
    <s v="Top trending tracks updated daily!"/>
    <n v="3204"/>
    <n v="398"/>
    <n v="85"/>
    <n v="22020"/>
    <n v="58353"/>
    <n v="286"/>
    <n v="0.16743869209809301"/>
    <x v="2"/>
    <s v="IndieWave"/>
  </r>
  <r>
    <s v="SP188"/>
    <x v="0"/>
    <d v="2025-06-06T00:00:00"/>
    <x v="0"/>
    <s v="Wrapped is here! Relive your top tracks ðŸŽ§"/>
    <n v="3987"/>
    <n v="171"/>
    <n v="274"/>
    <n v="45122"/>
    <n v="65431"/>
    <n v="168"/>
    <n v="9.8222596516111899E-2"/>
    <x v="0"/>
    <s v="IndieWave"/>
  </r>
  <r>
    <s v="SP195"/>
    <x v="1"/>
    <d v="2024-01-14T00:00:00"/>
    <x v="0"/>
    <s v="New music just dropped. Hit play!"/>
    <n v="3634"/>
    <n v="280"/>
    <n v="399"/>
    <n v="40256"/>
    <n v="52605"/>
    <n v="213"/>
    <n v="0.107139308426073"/>
    <x v="1"/>
    <s v="IndieWave"/>
  </r>
  <r>
    <s v="SP197"/>
    <x v="1"/>
    <d v="2024-12-08T00:00:00"/>
    <x v="0"/>
    <s v="Top trending tracks updated daily!"/>
    <n v="1424"/>
    <n v="396"/>
    <n v="312"/>
    <n v="59517"/>
    <n v="46102"/>
    <n v="239"/>
    <n v="3.5821698002251497E-2"/>
    <x v="1"/>
    <s v="IndieWave"/>
  </r>
  <r>
    <s v="SP203"/>
    <x v="0"/>
    <d v="2024-10-06T00:00:00"/>
    <x v="0"/>
    <s v="Top trending tracks updated daily!"/>
    <n v="2080"/>
    <n v="389"/>
    <n v="92"/>
    <n v="30971"/>
    <n v="25347"/>
    <n v="111"/>
    <n v="8.26902586290401E-2"/>
    <x v="0"/>
    <s v="IndieWave"/>
  </r>
  <r>
    <s v="SP205"/>
    <x v="2"/>
    <d v="2025-04-16T00:00:00"/>
    <x v="0"/>
    <s v="Wrapped is here! Relive your top tracks ðŸŽ§"/>
    <n v="3792"/>
    <n v="315"/>
    <n v="120"/>
    <n v="54592"/>
    <n v="67886"/>
    <n v="117"/>
    <n v="7.7428927315357596E-2"/>
    <x v="2"/>
    <s v="IndieWave"/>
  </r>
  <r>
    <s v="SP208"/>
    <x v="2"/>
    <d v="2025-04-07T00:00:00"/>
    <x v="0"/>
    <s v="From pop to podcasts, itâ€™s all here."/>
    <n v="1403"/>
    <n v="385"/>
    <n v="344"/>
    <n v="54223"/>
    <n v="72595"/>
    <n v="239"/>
    <n v="3.9319108127547402E-2"/>
    <x v="2"/>
    <s v="IndieWave"/>
  </r>
  <r>
    <s v="SP214"/>
    <x v="2"/>
    <d v="2024-10-09T00:00:00"/>
    <x v="0"/>
    <s v="Wrapped is here! Relive your top tracks ðŸŽ§"/>
    <n v="2659"/>
    <n v="167"/>
    <n v="73"/>
    <n v="23090"/>
    <n v="25872"/>
    <n v="293"/>
    <n v="0.12555218709398"/>
    <x v="2"/>
    <s v="IndieWave"/>
  </r>
  <r>
    <s v="SP215"/>
    <x v="1"/>
    <d v="2025-01-15T00:00:00"/>
    <x v="0"/>
    <s v="Your weekend playlist is waiting."/>
    <n v="2599"/>
    <n v="324"/>
    <n v="182"/>
    <n v="37525"/>
    <n v="37216"/>
    <n v="186"/>
    <n v="8.2744836775482999E-2"/>
    <x v="1"/>
    <s v="IndieWave"/>
  </r>
  <r>
    <s v="SP216"/>
    <x v="2"/>
    <d v="2025-01-12T00:00:00"/>
    <x v="0"/>
    <s v="Music that moves youâ€”only on Spotify."/>
    <n v="1765"/>
    <n v="285"/>
    <n v="100"/>
    <n v="41313"/>
    <n v="56575"/>
    <n v="174"/>
    <n v="5.2041730205988401E-2"/>
    <x v="2"/>
    <s v="IndieWave"/>
  </r>
  <r>
    <s v="SP219"/>
    <x v="2"/>
    <d v="2024-02-10T00:00:00"/>
    <x v="0"/>
    <s v="From pop to podcasts, itâ€™s all here."/>
    <n v="1519"/>
    <n v="456"/>
    <n v="379"/>
    <n v="51611"/>
    <n v="45880"/>
    <n v="176"/>
    <n v="4.5610431884675798E-2"/>
    <x v="2"/>
    <s v="IndieWave"/>
  </r>
  <r>
    <s v="SP220"/>
    <x v="1"/>
    <d v="2024-12-10T00:00:00"/>
    <x v="0"/>
    <s v="Whatâ€™s your vibe today? #SpotifyHits"/>
    <n v="2569"/>
    <n v="140"/>
    <n v="375"/>
    <n v="38372"/>
    <n v="22102"/>
    <n v="255"/>
    <n v="8.0371103929948895E-2"/>
    <x v="1"/>
    <s v="IndieWave"/>
  </r>
  <r>
    <s v="SP223"/>
    <x v="2"/>
    <d v="2024-06-19T00:00:00"/>
    <x v="0"/>
    <s v="Whatâ€™s your vibe today? #SpotifyHits"/>
    <n v="1224"/>
    <n v="168"/>
    <n v="199"/>
    <n v="54232"/>
    <n v="52844"/>
    <n v="271"/>
    <n v="2.9336922849977898E-2"/>
    <x v="2"/>
    <s v="IndieWave"/>
  </r>
  <r>
    <s v="SP225"/>
    <x v="1"/>
    <d v="2024-02-01T00:00:00"/>
    <x v="0"/>
    <s v="Wrapped is here! Relive your top tracks ðŸŽ§"/>
    <n v="1432"/>
    <n v="437"/>
    <n v="267"/>
    <n v="40634"/>
    <n v="54511"/>
    <n v="197"/>
    <n v="5.2566815966924203E-2"/>
    <x v="1"/>
    <s v="IndieWave"/>
  </r>
  <r>
    <s v="SP227"/>
    <x v="1"/>
    <d v="2025-03-22T00:00:00"/>
    <x v="0"/>
    <s v="Music that moves youâ€”only on Spotify."/>
    <n v="4308"/>
    <n v="171"/>
    <n v="106"/>
    <n v="36955"/>
    <n v="23949"/>
    <n v="294"/>
    <n v="0.124069814639426"/>
    <x v="1"/>
    <s v="IndieWave"/>
  </r>
  <r>
    <s v="SP229"/>
    <x v="1"/>
    <d v="2024-02-24T00:00:00"/>
    <x v="0"/>
    <s v="Music that moves youâ€”only on Spotify."/>
    <n v="4653"/>
    <n v="226"/>
    <n v="349"/>
    <n v="56876"/>
    <n v="28452"/>
    <n v="257"/>
    <n v="9.1919262958013906E-2"/>
    <x v="1"/>
    <s v="IndieWave"/>
  </r>
  <r>
    <s v="SP230"/>
    <x v="1"/>
    <d v="2025-05-14T00:00:00"/>
    <x v="0"/>
    <s v="Discover fresh beats on Spotify!"/>
    <n v="1701"/>
    <n v="272"/>
    <n v="385"/>
    <n v="47496"/>
    <n v="40832"/>
    <n v="246"/>
    <n v="4.9646286003031802E-2"/>
    <x v="1"/>
    <s v="IndieWave"/>
  </r>
  <r>
    <s v="SP232"/>
    <x v="1"/>
    <d v="2025-03-07T00:00:00"/>
    <x v="0"/>
    <s v="Top trending tracks updated daily!"/>
    <n v="4310"/>
    <n v="284"/>
    <n v="306"/>
    <n v="44606"/>
    <n v="42604"/>
    <n v="290"/>
    <n v="0.109850692731919"/>
    <x v="1"/>
    <s v="IndieWave"/>
  </r>
  <r>
    <s v="SP235"/>
    <x v="1"/>
    <d v="2024-09-07T00:00:00"/>
    <x v="0"/>
    <s v="Your weekend playlist is waiting."/>
    <n v="2101"/>
    <n v="411"/>
    <n v="190"/>
    <n v="41791"/>
    <n v="57090"/>
    <n v="172"/>
    <n v="6.4655069273288499E-2"/>
    <x v="1"/>
    <s v="IndieWave"/>
  </r>
  <r>
    <s v="SP236"/>
    <x v="0"/>
    <d v="2024-12-20T00:00:00"/>
    <x v="0"/>
    <s v="Discover fresh beats on Spotify!"/>
    <n v="2519"/>
    <n v="202"/>
    <n v="239"/>
    <n v="36245"/>
    <n v="48606"/>
    <n v="145"/>
    <n v="8.1666436749896598E-2"/>
    <x v="0"/>
    <s v="IndieWave"/>
  </r>
  <r>
    <s v="SP237"/>
    <x v="1"/>
    <d v="2024-01-14T00:00:00"/>
    <x v="0"/>
    <s v="Whatâ€™s your vibe today? #SpotifyHits"/>
    <n v="4502"/>
    <n v="238"/>
    <n v="386"/>
    <n v="39198"/>
    <n v="25050"/>
    <n v="297"/>
    <n v="0.130771978162151"/>
    <x v="1"/>
    <s v="IndieWave"/>
  </r>
  <r>
    <s v="SP240"/>
    <x v="1"/>
    <d v="2024-08-29T00:00:00"/>
    <x v="0"/>
    <s v="Wrapped is here! Relive your top tracks ðŸŽ§"/>
    <n v="4774"/>
    <n v="389"/>
    <n v="358"/>
    <n v="52346"/>
    <n v="30518"/>
    <n v="277"/>
    <n v="0.105471287204371"/>
    <x v="1"/>
    <s v="IndieWave"/>
  </r>
  <r>
    <s v="SP244"/>
    <x v="1"/>
    <d v="2025-06-08T00:00:00"/>
    <x v="0"/>
    <s v="Music that moves youâ€”only on Spotify."/>
    <n v="4375"/>
    <n v="303"/>
    <n v="294"/>
    <n v="57468"/>
    <n v="53397"/>
    <n v="159"/>
    <n v="8.6517714206166899E-2"/>
    <x v="1"/>
    <s v="IndieWave"/>
  </r>
  <r>
    <s v="SP249"/>
    <x v="0"/>
    <d v="2024-03-06T00:00:00"/>
    <x v="0"/>
    <s v="Whatâ€™s your vibe today? #SpotifyHits"/>
    <n v="3529"/>
    <n v="263"/>
    <n v="107"/>
    <n v="26570"/>
    <n v="19367"/>
    <n v="96"/>
    <n v="0.14674444862627001"/>
    <x v="0"/>
    <s v="IndieWave"/>
  </r>
  <r>
    <s v="SP251"/>
    <x v="2"/>
    <d v="2024-07-07T00:00:00"/>
    <x v="0"/>
    <s v="Whatâ€™s your vibe today? #SpotifyHits"/>
    <n v="1848"/>
    <n v="417"/>
    <n v="294"/>
    <n v="57819"/>
    <n v="19798"/>
    <n v="262"/>
    <n v="4.42588076583822E-2"/>
    <x v="2"/>
    <s v="IndieWave"/>
  </r>
  <r>
    <s v="SP252"/>
    <x v="1"/>
    <d v="2024-10-26T00:00:00"/>
    <x v="0"/>
    <s v="New music just dropped. Hit play!"/>
    <n v="4676"/>
    <n v="211"/>
    <n v="55"/>
    <n v="45917"/>
    <n v="73503"/>
    <n v="248"/>
    <n v="0.107628982729708"/>
    <x v="1"/>
    <s v="IndieWave"/>
  </r>
  <r>
    <s v="SP253"/>
    <x v="1"/>
    <d v="2024-08-08T00:00:00"/>
    <x v="0"/>
    <s v="From pop to podcasts, itâ€™s all here."/>
    <n v="1994"/>
    <n v="197"/>
    <n v="290"/>
    <n v="49500"/>
    <n v="23343"/>
    <n v="160"/>
    <n v="5.0121212121212101E-2"/>
    <x v="1"/>
    <s v="IndieWave"/>
  </r>
  <r>
    <s v="SP261"/>
    <x v="2"/>
    <d v="2024-11-16T00:00:00"/>
    <x v="0"/>
    <s v="From pop to podcasts, itâ€™s all here."/>
    <n v="2972"/>
    <n v="263"/>
    <n v="308"/>
    <n v="51740"/>
    <n v="28214"/>
    <n v="190"/>
    <n v="6.8477000386548095E-2"/>
    <x v="2"/>
    <s v="IndieWave"/>
  </r>
  <r>
    <s v="SP263"/>
    <x v="1"/>
    <d v="2024-03-27T00:00:00"/>
    <x v="0"/>
    <s v="Music that moves youâ€”only on Spotify."/>
    <n v="2399"/>
    <n v="191"/>
    <n v="221"/>
    <n v="51603"/>
    <n v="40033"/>
    <n v="173"/>
    <n v="5.4473577117609397E-2"/>
    <x v="1"/>
    <s v="IndieWave"/>
  </r>
  <r>
    <s v="SP267"/>
    <x v="1"/>
    <d v="2024-11-08T00:00:00"/>
    <x v="0"/>
    <s v="Top trending tracks updated daily!"/>
    <n v="2471"/>
    <n v="166"/>
    <n v="320"/>
    <n v="48254"/>
    <n v="46900"/>
    <n v="111"/>
    <n v="6.1279893894806599E-2"/>
    <x v="1"/>
    <s v="IndieWave"/>
  </r>
  <r>
    <s v="SP272"/>
    <x v="2"/>
    <d v="2024-11-07T00:00:00"/>
    <x v="0"/>
    <s v="Explore the latest podcasts now."/>
    <n v="2229"/>
    <n v="395"/>
    <n v="328"/>
    <n v="56921"/>
    <n v="37176"/>
    <n v="126"/>
    <n v="5.1861351697967399E-2"/>
    <x v="2"/>
    <s v="IndieWave"/>
  </r>
  <r>
    <s v="SP274"/>
    <x v="0"/>
    <d v="2024-10-08T00:00:00"/>
    <x v="0"/>
    <s v="Explore the latest podcasts now."/>
    <n v="2110"/>
    <n v="384"/>
    <n v="236"/>
    <n v="49965"/>
    <n v="61555"/>
    <n v="195"/>
    <n v="5.46382467727409E-2"/>
    <x v="0"/>
    <s v="IndieWave"/>
  </r>
  <r>
    <s v="SP275"/>
    <x v="0"/>
    <d v="2024-02-19T00:00:00"/>
    <x v="0"/>
    <s v="Wrapped is here! Relive your top tracks ðŸŽ§"/>
    <n v="4752"/>
    <n v="449"/>
    <n v="309"/>
    <n v="58530"/>
    <n v="26630"/>
    <n v="234"/>
    <n v="9.4139757389372997E-2"/>
    <x v="0"/>
    <s v="IndieWave"/>
  </r>
  <r>
    <s v="SP283"/>
    <x v="0"/>
    <d v="2024-08-27T00:00:00"/>
    <x v="0"/>
    <s v="Music that moves youâ€”only on Spotify."/>
    <n v="4197"/>
    <n v="359"/>
    <n v="280"/>
    <n v="56048"/>
    <n v="70930"/>
    <n v="295"/>
    <n v="8.6283185840708002E-2"/>
    <x v="0"/>
    <s v="IndieWave"/>
  </r>
  <r>
    <s v="SP285"/>
    <x v="1"/>
    <d v="2025-01-29T00:00:00"/>
    <x v="0"/>
    <s v="New music just dropped. Hit play!"/>
    <n v="1334"/>
    <n v="357"/>
    <n v="257"/>
    <n v="56910"/>
    <n v="70606"/>
    <n v="228"/>
    <n v="3.42294851519944E-2"/>
    <x v="1"/>
    <s v="IndieWave"/>
  </r>
  <r>
    <s v="SP286"/>
    <x v="0"/>
    <d v="2024-05-01T00:00:00"/>
    <x v="0"/>
    <s v="Get into the groove with our new drop!"/>
    <n v="3359"/>
    <n v="137"/>
    <n v="387"/>
    <n v="33861"/>
    <n v="47257"/>
    <n v="198"/>
    <n v="0.114674699506807"/>
    <x v="0"/>
    <s v="IndieWave"/>
  </r>
  <r>
    <s v="SP287"/>
    <x v="1"/>
    <d v="2024-06-25T00:00:00"/>
    <x v="0"/>
    <s v="Your weekend playlist is waiting."/>
    <n v="2172"/>
    <n v="338"/>
    <n v="70"/>
    <n v="30515"/>
    <n v="57853"/>
    <n v="156"/>
    <n v="8.4548582664263502E-2"/>
    <x v="1"/>
    <s v="IndieWave"/>
  </r>
  <r>
    <s v="SP290"/>
    <x v="2"/>
    <d v="2024-08-13T00:00:00"/>
    <x v="0"/>
    <s v="Explore the latest podcasts now."/>
    <n v="3418"/>
    <n v="107"/>
    <n v="221"/>
    <n v="23927"/>
    <n v="26182"/>
    <n v="155"/>
    <n v="0.15655953525306099"/>
    <x v="2"/>
    <s v="IndieWave"/>
  </r>
  <r>
    <s v="SP294"/>
    <x v="0"/>
    <d v="2024-12-27T00:00:00"/>
    <x v="0"/>
    <s v="From pop to podcasts, itâ€™s all here."/>
    <n v="1436"/>
    <n v="219"/>
    <n v="229"/>
    <n v="58488"/>
    <n v="24314"/>
    <n v="147"/>
    <n v="3.2211735740664799E-2"/>
    <x v="0"/>
    <s v="IndieWave"/>
  </r>
  <r>
    <s v="SP297"/>
    <x v="2"/>
    <d v="2024-11-16T00:00:00"/>
    <x v="0"/>
    <s v="Explore the latest podcasts now."/>
    <n v="2901"/>
    <n v="108"/>
    <n v="86"/>
    <n v="51777"/>
    <n v="23773"/>
    <n v="160"/>
    <n v="5.9775576027966099E-2"/>
    <x v="2"/>
    <s v="IndieWave"/>
  </r>
  <r>
    <s v="SP001"/>
    <x v="0"/>
    <d v="2025-05-04T00:00:00"/>
    <x v="0"/>
    <s v="Discover fresh beats on Spotify!"/>
    <n v="2414"/>
    <n v="245"/>
    <n v="137"/>
    <n v="21181"/>
    <n v="45292"/>
    <n v="133"/>
    <n v="0.13200509890939999"/>
    <x v="3"/>
    <s v="ChillVibes"/>
  </r>
  <r>
    <s v="SP004"/>
    <x v="0"/>
    <d v="2024-12-03T00:00:00"/>
    <x v="0"/>
    <s v="Wrapped is here! Relive your top tracks ðŸŽ§"/>
    <n v="3173"/>
    <n v="229"/>
    <n v="197"/>
    <n v="29604"/>
    <n v="21809"/>
    <n v="272"/>
    <n v="0.12157140926901799"/>
    <x v="3"/>
    <s v="ChillVibes"/>
  </r>
  <r>
    <s v="SP009"/>
    <x v="2"/>
    <d v="2025-06-15T00:00:00"/>
    <x v="0"/>
    <s v="Top trending tracks updated daily!"/>
    <n v="4432"/>
    <n v="223"/>
    <n v="299"/>
    <n v="59016"/>
    <n v="21742"/>
    <n v="171"/>
    <n v="8.3943337400027102E-2"/>
    <x v="4"/>
    <s v="ChillVibes"/>
  </r>
  <r>
    <s v="SP010"/>
    <x v="2"/>
    <d v="2024-12-04T00:00:00"/>
    <x v="0"/>
    <s v="Wrapped is here! Relive your top tracks ðŸŽ§"/>
    <n v="2357"/>
    <n v="274"/>
    <n v="172"/>
    <n v="21566"/>
    <n v="66829"/>
    <n v="284"/>
    <n v="0.129973105814708"/>
    <x v="4"/>
    <s v="ChillVibes"/>
  </r>
  <r>
    <s v="SP012"/>
    <x v="0"/>
    <d v="2024-05-14T00:00:00"/>
    <x v="0"/>
    <s v="Discover fresh beats on Spotify!"/>
    <n v="1485"/>
    <n v="353"/>
    <n v="244"/>
    <n v="38419"/>
    <n v="38556"/>
    <n v="86"/>
    <n v="5.4191936281527402E-2"/>
    <x v="3"/>
    <s v="ChillVibes"/>
  </r>
  <r>
    <s v="SP014"/>
    <x v="2"/>
    <d v="2024-10-08T00:00:00"/>
    <x v="0"/>
    <s v="From pop to podcasts, itâ€™s all here."/>
    <n v="2460"/>
    <n v="409"/>
    <n v="253"/>
    <n v="36702"/>
    <n v="46122"/>
    <n v="264"/>
    <n v="8.5063484278785906E-2"/>
    <x v="4"/>
    <s v="ChillVibes"/>
  </r>
  <r>
    <s v="SP015"/>
    <x v="2"/>
    <d v="2024-05-06T00:00:00"/>
    <x v="0"/>
    <s v="Your weekend playlist is waiting."/>
    <n v="3476"/>
    <n v="355"/>
    <n v="396"/>
    <n v="37492"/>
    <n v="27285"/>
    <n v="179"/>
    <n v="0.11274405206444001"/>
    <x v="4"/>
    <s v="ChillVibes"/>
  </r>
  <r>
    <s v="SP017"/>
    <x v="2"/>
    <d v="2024-06-10T00:00:00"/>
    <x v="0"/>
    <s v="Whatâ€™s your vibe today? #SpotifyHits"/>
    <n v="1514"/>
    <n v="164"/>
    <n v="275"/>
    <n v="41364"/>
    <n v="44389"/>
    <n v="83"/>
    <n v="4.72149695387293E-2"/>
    <x v="4"/>
    <s v="ChillVibes"/>
  </r>
  <r>
    <s v="SP022"/>
    <x v="0"/>
    <d v="2025-06-15T00:00:00"/>
    <x v="0"/>
    <s v="Whatâ€™s your vibe today? #SpotifyHits"/>
    <n v="4896"/>
    <n v="466"/>
    <n v="233"/>
    <n v="28621"/>
    <n v="34270"/>
    <n v="84"/>
    <n v="0.19548583208133899"/>
    <x v="3"/>
    <s v="ChillVibes"/>
  </r>
  <r>
    <s v="SP027"/>
    <x v="0"/>
    <d v="2024-11-29T00:00:00"/>
    <x v="0"/>
    <s v="Whatâ€™s your vibe today? #SpotifyHits"/>
    <n v="2824"/>
    <n v="425"/>
    <n v="274"/>
    <n v="31004"/>
    <n v="53488"/>
    <n v="268"/>
    <n v="0.11363049929041399"/>
    <x v="3"/>
    <s v="ChillVibes"/>
  </r>
  <r>
    <s v="SP030"/>
    <x v="2"/>
    <d v="2025-04-26T00:00:00"/>
    <x v="0"/>
    <s v="Discover fresh beats on Spotify!"/>
    <n v="2411"/>
    <n v="194"/>
    <n v="168"/>
    <n v="26665"/>
    <n v="71699"/>
    <n v="197"/>
    <n v="0.103993999624977"/>
    <x v="4"/>
    <s v="ChillVibes"/>
  </r>
  <r>
    <s v="SP031"/>
    <x v="0"/>
    <d v="2025-01-01T00:00:00"/>
    <x v="0"/>
    <s v="New music just dropped. Hit play!"/>
    <n v="4036"/>
    <n v="112"/>
    <n v="382"/>
    <n v="56284"/>
    <n v="29440"/>
    <n v="279"/>
    <n v="8.0484684812735394E-2"/>
    <x v="3"/>
    <s v="ChillVibes"/>
  </r>
  <r>
    <s v="SP034"/>
    <x v="0"/>
    <d v="2025-01-09T00:00:00"/>
    <x v="0"/>
    <s v="New music just dropped. Hit play!"/>
    <n v="1015"/>
    <n v="366"/>
    <n v="308"/>
    <n v="38127"/>
    <n v="63790"/>
    <n v="287"/>
    <n v="4.4299315445747098E-2"/>
    <x v="3"/>
    <s v="ChillVibes"/>
  </r>
  <r>
    <s v="SP040"/>
    <x v="2"/>
    <d v="2025-06-10T00:00:00"/>
    <x v="0"/>
    <s v="Explore the latest podcasts now."/>
    <n v="3615"/>
    <n v="192"/>
    <n v="162"/>
    <n v="27492"/>
    <n v="35341"/>
    <n v="125"/>
    <n v="0.14436927106067199"/>
    <x v="4"/>
    <s v="ChillVibes"/>
  </r>
  <r>
    <s v="SP041"/>
    <x v="0"/>
    <d v="2024-04-19T00:00:00"/>
    <x v="0"/>
    <s v="New music just dropped. Hit play!"/>
    <n v="4001"/>
    <n v="353"/>
    <n v="129"/>
    <n v="41265"/>
    <n v="37279"/>
    <n v="275"/>
    <n v="0.10863928268508399"/>
    <x v="3"/>
    <s v="ChillVibes"/>
  </r>
  <r>
    <s v="SP043"/>
    <x v="0"/>
    <d v="2025-02-14T00:00:00"/>
    <x v="0"/>
    <s v="Top trending tracks updated daily!"/>
    <n v="4891"/>
    <n v="450"/>
    <n v="387"/>
    <n v="48746"/>
    <n v="37312"/>
    <n v="154"/>
    <n v="0.11750707750379499"/>
    <x v="3"/>
    <s v="ChillVibes"/>
  </r>
  <r>
    <s v="SP050"/>
    <x v="2"/>
    <d v="2025-04-22T00:00:00"/>
    <x v="0"/>
    <s v="Discover fresh beats on Spotify!"/>
    <n v="4401"/>
    <n v="421"/>
    <n v="216"/>
    <n v="24890"/>
    <n v="54361"/>
    <n v="148"/>
    <n v="0.20241060666934499"/>
    <x v="4"/>
    <s v="ChillVibes"/>
  </r>
  <r>
    <s v="SP055"/>
    <x v="2"/>
    <d v="2024-05-08T00:00:00"/>
    <x v="0"/>
    <s v="Explore the latest podcasts now."/>
    <n v="1828"/>
    <n v="450"/>
    <n v="214"/>
    <n v="52115"/>
    <n v="19166"/>
    <n v="190"/>
    <n v="4.7817327065144397E-2"/>
    <x v="4"/>
    <s v="ChillVibes"/>
  </r>
  <r>
    <s v="SP066"/>
    <x v="0"/>
    <d v="2025-04-16T00:00:00"/>
    <x v="0"/>
    <s v="Wrapped is here! Relive your top tracks ðŸŽ§"/>
    <n v="4836"/>
    <n v="331"/>
    <n v="140"/>
    <n v="58792"/>
    <n v="47711"/>
    <n v="227"/>
    <n v="9.0267383317458205E-2"/>
    <x v="3"/>
    <s v="ChillVibes"/>
  </r>
  <r>
    <s v="SP070"/>
    <x v="2"/>
    <d v="2025-01-05T00:00:00"/>
    <x v="0"/>
    <s v="Wrapped is here! Relive your top tracks ðŸŽ§"/>
    <n v="4811"/>
    <n v="473"/>
    <n v="254"/>
    <n v="51964"/>
    <n v="68795"/>
    <n v="107"/>
    <n v="0.106573781848972"/>
    <x v="4"/>
    <s v="ChillVibes"/>
  </r>
  <r>
    <s v="SP077"/>
    <x v="2"/>
    <d v="2025-05-28T00:00:00"/>
    <x v="0"/>
    <s v="From pop to podcasts, itâ€™s all here."/>
    <n v="2418"/>
    <n v="161"/>
    <n v="360"/>
    <n v="30589"/>
    <n v="41383"/>
    <n v="88"/>
    <n v="9.6080290300434801E-2"/>
    <x v="4"/>
    <s v="ChillVibes"/>
  </r>
  <r>
    <s v="SP080"/>
    <x v="0"/>
    <d v="2025-06-17T00:00:00"/>
    <x v="0"/>
    <s v="Music that moves youâ€”only on Spotify."/>
    <n v="2284"/>
    <n v="187"/>
    <n v="260"/>
    <n v="37400"/>
    <n v="65014"/>
    <n v="157"/>
    <n v="7.3021390374331599E-2"/>
    <x v="3"/>
    <s v="ChillVibes"/>
  </r>
  <r>
    <s v="SP084"/>
    <x v="2"/>
    <d v="2024-08-03T00:00:00"/>
    <x v="0"/>
    <s v="Your weekend playlist is waiting."/>
    <n v="4247"/>
    <n v="390"/>
    <n v="213"/>
    <n v="29785"/>
    <n v="57768"/>
    <n v="122"/>
    <n v="0.16283364109451101"/>
    <x v="4"/>
    <s v="ChillVibes"/>
  </r>
  <r>
    <s v="SP085"/>
    <x v="0"/>
    <d v="2024-08-18T00:00:00"/>
    <x v="0"/>
    <s v="Explore the latest podcasts now."/>
    <n v="2965"/>
    <n v="328"/>
    <n v="171"/>
    <n v="57685"/>
    <n v="67536"/>
    <n v="264"/>
    <n v="6.0050273034584399E-2"/>
    <x v="3"/>
    <s v="ChillVibes"/>
  </r>
  <r>
    <s v="SP089"/>
    <x v="0"/>
    <d v="2024-12-04T00:00:00"/>
    <x v="0"/>
    <s v="Wrapped is here! Relive your top tracks ðŸŽ§"/>
    <n v="2601"/>
    <n v="336"/>
    <n v="260"/>
    <n v="32368"/>
    <n v="49028"/>
    <n v="120"/>
    <n v="9.8770390509144795E-2"/>
    <x v="3"/>
    <s v="ChillVibes"/>
  </r>
  <r>
    <s v="SP099"/>
    <x v="2"/>
    <d v="2024-10-15T00:00:00"/>
    <x v="0"/>
    <s v="Wrapped is here! Relive your top tracks ðŸŽ§"/>
    <n v="1984"/>
    <n v="481"/>
    <n v="356"/>
    <n v="40681"/>
    <n v="63111"/>
    <n v="258"/>
    <n v="6.9344411395983394E-2"/>
    <x v="4"/>
    <s v="ChillVibes"/>
  </r>
  <r>
    <s v="SP101"/>
    <x v="2"/>
    <d v="2024-10-12T00:00:00"/>
    <x v="0"/>
    <s v="Get into the groove with our new drop!"/>
    <n v="3169"/>
    <n v="386"/>
    <n v="175"/>
    <n v="45012"/>
    <n v="38508"/>
    <n v="218"/>
    <n v="8.2866791077934807E-2"/>
    <x v="4"/>
    <s v="ChillVibes"/>
  </r>
  <r>
    <s v="SP102"/>
    <x v="2"/>
    <d v="2024-10-26T00:00:00"/>
    <x v="0"/>
    <s v="Discover fresh beats on Spotify!"/>
    <n v="3036"/>
    <n v="293"/>
    <n v="115"/>
    <n v="23776"/>
    <n v="46386"/>
    <n v="282"/>
    <n v="0.144851951547779"/>
    <x v="4"/>
    <s v="ChillVibes"/>
  </r>
  <r>
    <s v="SP103"/>
    <x v="0"/>
    <d v="2024-02-14T00:00:00"/>
    <x v="0"/>
    <s v="Music that moves youâ€”only on Spotify."/>
    <n v="1830"/>
    <n v="112"/>
    <n v="181"/>
    <n v="31870"/>
    <n v="55742"/>
    <n v="263"/>
    <n v="6.6614370881706894E-2"/>
    <x v="3"/>
    <s v="ChillVibes"/>
  </r>
  <r>
    <s v="SP105"/>
    <x v="2"/>
    <d v="2024-09-18T00:00:00"/>
    <x v="0"/>
    <s v="Discover fresh beats on Spotify!"/>
    <n v="2878"/>
    <n v="265"/>
    <n v="91"/>
    <n v="52090"/>
    <n v="28924"/>
    <n v="133"/>
    <n v="6.2084853138798198E-2"/>
    <x v="4"/>
    <s v="ChillVibes"/>
  </r>
  <r>
    <s v="SP109"/>
    <x v="0"/>
    <d v="2024-11-21T00:00:00"/>
    <x v="0"/>
    <s v="Music that moves youâ€”only on Spotify."/>
    <n v="4581"/>
    <n v="181"/>
    <n v="112"/>
    <n v="35221"/>
    <n v="28797"/>
    <n v="164"/>
    <n v="0.13838335084182701"/>
    <x v="3"/>
    <s v="ChillVibes"/>
  </r>
  <r>
    <s v="SP112"/>
    <x v="0"/>
    <d v="2025-02-16T00:00:00"/>
    <x v="0"/>
    <s v="Your weekend playlist is waiting."/>
    <n v="1333"/>
    <n v="286"/>
    <n v="298"/>
    <n v="36174"/>
    <n v="34517"/>
    <n v="170"/>
    <n v="5.2993862995521598E-2"/>
    <x v="3"/>
    <s v="ChillVibes"/>
  </r>
  <r>
    <s v="SP113"/>
    <x v="0"/>
    <d v="2024-09-09T00:00:00"/>
    <x v="0"/>
    <s v="New music just dropped. Hit play!"/>
    <n v="1616"/>
    <n v="360"/>
    <n v="180"/>
    <n v="54342"/>
    <n v="18796"/>
    <n v="282"/>
    <n v="3.9674653122814797E-2"/>
    <x v="3"/>
    <s v="ChillVibes"/>
  </r>
  <r>
    <s v="SP114"/>
    <x v="2"/>
    <d v="2024-07-16T00:00:00"/>
    <x v="0"/>
    <s v="Top trending tracks updated daily!"/>
    <n v="1803"/>
    <n v="273"/>
    <n v="287"/>
    <n v="46176"/>
    <n v="25488"/>
    <n v="141"/>
    <n v="5.1173769923769902E-2"/>
    <x v="4"/>
    <s v="ChillVibes"/>
  </r>
  <r>
    <s v="SP125"/>
    <x v="2"/>
    <d v="2024-11-06T00:00:00"/>
    <x v="0"/>
    <s v="From pop to podcasts, itâ€™s all here."/>
    <n v="2956"/>
    <n v="381"/>
    <n v="345"/>
    <n v="33347"/>
    <n v="22558"/>
    <n v="173"/>
    <n v="0.110414729960716"/>
    <x v="4"/>
    <s v="ChillVibes"/>
  </r>
  <r>
    <s v="SP128"/>
    <x v="0"/>
    <d v="2024-02-22T00:00:00"/>
    <x v="0"/>
    <s v="New music just dropped. Hit play!"/>
    <n v="1902"/>
    <n v="394"/>
    <n v="279"/>
    <n v="24615"/>
    <n v="51330"/>
    <n v="176"/>
    <n v="0.104611009547024"/>
    <x v="3"/>
    <s v="ChillVibes"/>
  </r>
  <r>
    <s v="SP132"/>
    <x v="2"/>
    <d v="2024-09-28T00:00:00"/>
    <x v="0"/>
    <s v="Whatâ€™s your vibe today? #SpotifyHits"/>
    <n v="4006"/>
    <n v="420"/>
    <n v="194"/>
    <n v="49964"/>
    <n v="20685"/>
    <n v="148"/>
    <n v="9.2466575934673001E-2"/>
    <x v="4"/>
    <s v="ChillVibes"/>
  </r>
  <r>
    <s v="SP134"/>
    <x v="2"/>
    <d v="2025-05-15T00:00:00"/>
    <x v="0"/>
    <s v="New music just dropped. Hit play!"/>
    <n v="1583"/>
    <n v="433"/>
    <n v="249"/>
    <n v="30256"/>
    <n v="47066"/>
    <n v="196"/>
    <n v="7.4861184558434699E-2"/>
    <x v="4"/>
    <s v="ChillVibes"/>
  </r>
  <r>
    <s v="SP136"/>
    <x v="2"/>
    <d v="2024-11-19T00:00:00"/>
    <x v="0"/>
    <s v="Top trending tracks updated daily!"/>
    <n v="3728"/>
    <n v="271"/>
    <n v="275"/>
    <n v="22827"/>
    <n v="37034"/>
    <n v="199"/>
    <n v="0.18723441538528901"/>
    <x v="4"/>
    <s v="ChillVibes"/>
  </r>
  <r>
    <s v="SP139"/>
    <x v="2"/>
    <d v="2025-03-09T00:00:00"/>
    <x v="0"/>
    <s v="Your weekend playlist is waiting."/>
    <n v="2754"/>
    <n v="215"/>
    <n v="264"/>
    <n v="27762"/>
    <n v="70203"/>
    <n v="289"/>
    <n v="0.116454145954902"/>
    <x v="4"/>
    <s v="ChillVibes"/>
  </r>
  <r>
    <s v="SP144"/>
    <x v="0"/>
    <d v="2025-02-14T00:00:00"/>
    <x v="0"/>
    <s v="Discover fresh beats on Spotify!"/>
    <n v="2329"/>
    <n v="373"/>
    <n v="291"/>
    <n v="49577"/>
    <n v="28002"/>
    <n v="82"/>
    <n v="6.0370736430199502E-2"/>
    <x v="3"/>
    <s v="ChillVibes"/>
  </r>
  <r>
    <s v="SP155"/>
    <x v="0"/>
    <d v="2024-04-25T00:00:00"/>
    <x v="0"/>
    <s v="Music that moves youâ€”only on Spotify."/>
    <n v="3563"/>
    <n v="483"/>
    <n v="227"/>
    <n v="41085"/>
    <n v="26393"/>
    <n v="236"/>
    <n v="0.10400389436533999"/>
    <x v="3"/>
    <s v="ChillVibes"/>
  </r>
  <r>
    <s v="SP162"/>
    <x v="0"/>
    <d v="2024-11-14T00:00:00"/>
    <x v="0"/>
    <s v="Music that moves youâ€”only on Spotify."/>
    <n v="2422"/>
    <n v="318"/>
    <n v="118"/>
    <n v="25386"/>
    <n v="20873"/>
    <n v="100"/>
    <n v="0.112581737965808"/>
    <x v="3"/>
    <s v="ChillVibes"/>
  </r>
  <r>
    <s v="SP168"/>
    <x v="0"/>
    <d v="2024-04-03T00:00:00"/>
    <x v="0"/>
    <s v="Top trending tracks updated daily!"/>
    <n v="2762"/>
    <n v="339"/>
    <n v="323"/>
    <n v="33757"/>
    <n v="68511"/>
    <n v="121"/>
    <n v="0.101430814349616"/>
    <x v="3"/>
    <s v="ChillVibes"/>
  </r>
  <r>
    <s v="SP176"/>
    <x v="0"/>
    <d v="2024-07-02T00:00:00"/>
    <x v="0"/>
    <s v="Top trending tracks updated daily!"/>
    <n v="3469"/>
    <n v="371"/>
    <n v="76"/>
    <n v="46493"/>
    <n v="26906"/>
    <n v="150"/>
    <n v="8.4227733207149505E-2"/>
    <x v="3"/>
    <s v="ChillVibes"/>
  </r>
  <r>
    <s v="SP182"/>
    <x v="0"/>
    <d v="2024-03-19T00:00:00"/>
    <x v="0"/>
    <s v="From pop to podcasts, itâ€™s all here."/>
    <n v="2878"/>
    <n v="278"/>
    <n v="255"/>
    <n v="47235"/>
    <n v="57922"/>
    <n v="112"/>
    <n v="7.2213401079707806E-2"/>
    <x v="3"/>
    <s v="ChillVibes"/>
  </r>
  <r>
    <s v="SP190"/>
    <x v="0"/>
    <d v="2025-01-16T00:00:00"/>
    <x v="0"/>
    <s v="Music that moves youâ€”only on Spotify."/>
    <n v="2605"/>
    <n v="282"/>
    <n v="148"/>
    <n v="32201"/>
    <n v="49583"/>
    <n v="241"/>
    <n v="9.4251731312692197E-2"/>
    <x v="3"/>
    <s v="ChillVibes"/>
  </r>
  <r>
    <s v="SP196"/>
    <x v="0"/>
    <d v="2025-01-12T00:00:00"/>
    <x v="0"/>
    <s v="From pop to podcasts, itâ€™s all here."/>
    <n v="1771"/>
    <n v="487"/>
    <n v="272"/>
    <n v="48810"/>
    <n v="48084"/>
    <n v="272"/>
    <n v="5.1833640647408301E-2"/>
    <x v="3"/>
    <s v="ChillVibes"/>
  </r>
  <r>
    <s v="SP200"/>
    <x v="2"/>
    <d v="2024-03-18T00:00:00"/>
    <x v="0"/>
    <s v="New music just dropped. Hit play!"/>
    <n v="2033"/>
    <n v="420"/>
    <n v="94"/>
    <n v="56290"/>
    <n v="57391"/>
    <n v="196"/>
    <n v="4.5247823769763697E-2"/>
    <x v="4"/>
    <s v="ChillVibes"/>
  </r>
  <r>
    <s v="SP204"/>
    <x v="2"/>
    <d v="2024-12-30T00:00:00"/>
    <x v="0"/>
    <s v="Get into the groove with our new drop!"/>
    <n v="4214"/>
    <n v="286"/>
    <n v="127"/>
    <n v="47293"/>
    <n v="27184"/>
    <n v="232"/>
    <n v="9.7836889180217004E-2"/>
    <x v="4"/>
    <s v="ChillVibes"/>
  </r>
  <r>
    <s v="SP217"/>
    <x v="0"/>
    <d v="2025-05-31T00:00:00"/>
    <x v="0"/>
    <s v="Whatâ€™s your vibe today? #SpotifyHits"/>
    <n v="2169"/>
    <n v="240"/>
    <n v="57"/>
    <n v="26109"/>
    <n v="46667"/>
    <n v="133"/>
    <n v="9.4450189589796604E-2"/>
    <x v="3"/>
    <s v="ChillVibes"/>
  </r>
  <r>
    <s v="SP222"/>
    <x v="2"/>
    <d v="2025-06-21T00:00:00"/>
    <x v="0"/>
    <s v="Explore the latest podcasts now."/>
    <n v="3611"/>
    <n v="127"/>
    <n v="139"/>
    <n v="44768"/>
    <n v="29435"/>
    <n v="178"/>
    <n v="8.6602037169406704E-2"/>
    <x v="4"/>
    <s v="ChillVibes"/>
  </r>
  <r>
    <s v="SP224"/>
    <x v="2"/>
    <d v="2024-12-10T00:00:00"/>
    <x v="0"/>
    <s v="From pop to podcasts, itâ€™s all here."/>
    <n v="4673"/>
    <n v="270"/>
    <n v="93"/>
    <n v="45260"/>
    <n v="57513"/>
    <n v="103"/>
    <n v="0.11126822801590799"/>
    <x v="4"/>
    <s v="ChillVibes"/>
  </r>
  <r>
    <s v="SP231"/>
    <x v="0"/>
    <d v="2024-03-28T00:00:00"/>
    <x v="0"/>
    <s v="Whatâ€™s your vibe today? #SpotifyHits"/>
    <n v="1673"/>
    <n v="280"/>
    <n v="67"/>
    <n v="29847"/>
    <n v="48016"/>
    <n v="213"/>
    <n v="6.76784936509532E-2"/>
    <x v="3"/>
    <s v="ChillVibes"/>
  </r>
  <r>
    <s v="SP233"/>
    <x v="2"/>
    <d v="2024-10-20T00:00:00"/>
    <x v="0"/>
    <s v="From pop to podcasts, itâ€™s all here."/>
    <n v="2752"/>
    <n v="309"/>
    <n v="91"/>
    <n v="39038"/>
    <n v="28095"/>
    <n v="277"/>
    <n v="8.0741841282852597E-2"/>
    <x v="4"/>
    <s v="ChillVibes"/>
  </r>
  <r>
    <s v="SP234"/>
    <x v="2"/>
    <d v="2024-02-02T00:00:00"/>
    <x v="0"/>
    <s v="From pop to podcasts, itâ€™s all here."/>
    <n v="3818"/>
    <n v="115"/>
    <n v="286"/>
    <n v="25127"/>
    <n v="22277"/>
    <n v="263"/>
    <n v="0.16790703227603801"/>
    <x v="4"/>
    <s v="ChillVibes"/>
  </r>
  <r>
    <s v="SP238"/>
    <x v="0"/>
    <d v="2025-06-15T00:00:00"/>
    <x v="0"/>
    <s v="Explore the latest podcasts now."/>
    <n v="2478"/>
    <n v="427"/>
    <n v="242"/>
    <n v="59272"/>
    <n v="37833"/>
    <n v="214"/>
    <n v="5.3094209744904801E-2"/>
    <x v="3"/>
    <s v="ChillVibes"/>
  </r>
  <r>
    <s v="SP241"/>
    <x v="2"/>
    <d v="2024-09-15T00:00:00"/>
    <x v="0"/>
    <s v="Get into the groove with our new drop!"/>
    <n v="2145"/>
    <n v="340"/>
    <n v="85"/>
    <n v="53323"/>
    <n v="49938"/>
    <n v="104"/>
    <n v="4.8196838137389099E-2"/>
    <x v="4"/>
    <s v="ChillVibes"/>
  </r>
  <r>
    <s v="SP250"/>
    <x v="2"/>
    <d v="2025-05-15T00:00:00"/>
    <x v="0"/>
    <s v="Your weekend playlist is waiting."/>
    <n v="4782"/>
    <n v="210"/>
    <n v="311"/>
    <n v="29793"/>
    <n v="37543"/>
    <n v="145"/>
    <n v="0.17799483100057101"/>
    <x v="4"/>
    <s v="ChillVibes"/>
  </r>
  <r>
    <s v="SP254"/>
    <x v="2"/>
    <d v="2025-02-03T00:00:00"/>
    <x v="0"/>
    <s v="Whatâ€™s your vibe today? #SpotifyHits"/>
    <n v="4995"/>
    <n v="231"/>
    <n v="94"/>
    <n v="34431"/>
    <n v="32560"/>
    <n v="262"/>
    <n v="0.154511922395516"/>
    <x v="4"/>
    <s v="ChillVibes"/>
  </r>
  <r>
    <s v="SP273"/>
    <x v="2"/>
    <d v="2024-02-12T00:00:00"/>
    <x v="0"/>
    <s v="Explore the latest podcasts now."/>
    <n v="2691"/>
    <n v="486"/>
    <n v="206"/>
    <n v="51133"/>
    <n v="44583"/>
    <n v="276"/>
    <n v="6.6160796354604604E-2"/>
    <x v="4"/>
    <s v="ChillVibes"/>
  </r>
  <r>
    <s v="SP276"/>
    <x v="2"/>
    <d v="2025-03-04T00:00:00"/>
    <x v="0"/>
    <s v="Discover fresh beats on Spotify!"/>
    <n v="2177"/>
    <n v="258"/>
    <n v="292"/>
    <n v="47276"/>
    <n v="51324"/>
    <n v="143"/>
    <n v="5.7682545054573202E-2"/>
    <x v="4"/>
    <s v="ChillVibes"/>
  </r>
  <r>
    <s v="SP278"/>
    <x v="0"/>
    <d v="2024-12-02T00:00:00"/>
    <x v="0"/>
    <s v="Top trending tracks updated daily!"/>
    <n v="3194"/>
    <n v="292"/>
    <n v="245"/>
    <n v="56371"/>
    <n v="65597"/>
    <n v="163"/>
    <n v="6.6186514342481101E-2"/>
    <x v="3"/>
    <s v="ChillVibes"/>
  </r>
  <r>
    <s v="SP281"/>
    <x v="0"/>
    <d v="2024-01-07T00:00:00"/>
    <x v="0"/>
    <s v="Top trending tracks updated daily!"/>
    <n v="4931"/>
    <n v="469"/>
    <n v="193"/>
    <n v="56701"/>
    <n v="69437"/>
    <n v="291"/>
    <n v="9.8640235621946695E-2"/>
    <x v="3"/>
    <s v="ChillVibes"/>
  </r>
  <r>
    <s v="SP291"/>
    <x v="0"/>
    <d v="2024-06-29T00:00:00"/>
    <x v="0"/>
    <s v="Your weekend playlist is waiting."/>
    <n v="2088"/>
    <n v="490"/>
    <n v="124"/>
    <n v="46544"/>
    <n v="69346"/>
    <n v="178"/>
    <n v="5.8052595393606E-2"/>
    <x v="3"/>
    <s v="ChillVibes"/>
  </r>
  <r>
    <s v="SP298"/>
    <x v="2"/>
    <d v="2025-06-30T00:00:00"/>
    <x v="0"/>
    <s v="Whatâ€™s your vibe today? #SpotifyHits"/>
    <n v="2275"/>
    <n v="285"/>
    <n v="125"/>
    <n v="43970"/>
    <n v="74761"/>
    <n v="83"/>
    <n v="6.1064362065044397E-2"/>
    <x v="4"/>
    <s v="ChillVibes"/>
  </r>
  <r>
    <s v="SP300"/>
    <x v="0"/>
    <d v="2024-02-07T00:00:00"/>
    <x v="0"/>
    <s v="Music that moves youâ€”only on Spotify."/>
    <n v="1883"/>
    <n v="432"/>
    <n v="397"/>
    <n v="28759"/>
    <n v="18691"/>
    <n v="270"/>
    <n v="9.43009144963316E-2"/>
    <x v="3"/>
    <s v="ChillVibes"/>
  </r>
  <r>
    <s v="SP018"/>
    <x v="0"/>
    <d v="2024-02-03T00:00:00"/>
    <x v="1"/>
    <s v="Music that moves youâ€”only on Spotify."/>
    <n v="4281"/>
    <n v="101"/>
    <n v="163"/>
    <n v="32278"/>
    <n v="53382"/>
    <n v="235"/>
    <n v="0.140807980667947"/>
    <x v="4"/>
    <s v="Wrapped2024"/>
  </r>
  <r>
    <s v="SP021"/>
    <x v="0"/>
    <d v="2024-11-07T00:00:00"/>
    <x v="1"/>
    <s v="Wrapped is here! Relive your top tracks ðŸŽ§"/>
    <n v="1678"/>
    <n v="423"/>
    <n v="323"/>
    <n v="55668"/>
    <n v="37945"/>
    <n v="230"/>
    <n v="4.3543867212761399E-2"/>
    <x v="4"/>
    <s v="Wrapped2024"/>
  </r>
  <r>
    <s v="SP038"/>
    <x v="0"/>
    <d v="2024-09-10T00:00:00"/>
    <x v="1"/>
    <s v="New music just dropped. Hit play!"/>
    <n v="1230"/>
    <n v="309"/>
    <n v="207"/>
    <n v="44629"/>
    <n v="40699"/>
    <n v="195"/>
    <n v="3.9122543637545103E-2"/>
    <x v="4"/>
    <s v="Wrapped2024"/>
  </r>
  <r>
    <s v="SP042"/>
    <x v="0"/>
    <d v="2025-01-26T00:00:00"/>
    <x v="1"/>
    <s v="Whatâ€™s your vibe today? #SpotifyHits"/>
    <n v="3451"/>
    <n v="363"/>
    <n v="393"/>
    <n v="44853"/>
    <n v="69032"/>
    <n v="211"/>
    <n v="9.3795286825853405E-2"/>
    <x v="4"/>
    <s v="Wrapped2024"/>
  </r>
  <r>
    <s v="SP048"/>
    <x v="0"/>
    <d v="2025-02-05T00:00:00"/>
    <x v="1"/>
    <s v="Music that moves youâ€”only on Spotify."/>
    <n v="3074"/>
    <n v="371"/>
    <n v="348"/>
    <n v="24104"/>
    <n v="57803"/>
    <n v="213"/>
    <n v="0.15735977431131801"/>
    <x v="4"/>
    <s v="Wrapped2024"/>
  </r>
  <r>
    <s v="SP056"/>
    <x v="0"/>
    <d v="2025-02-19T00:00:00"/>
    <x v="1"/>
    <s v="From pop to podcasts, itâ€™s all here."/>
    <n v="2422"/>
    <n v="455"/>
    <n v="376"/>
    <n v="23428"/>
    <n v="46775"/>
    <n v="259"/>
    <n v="0.138850947584087"/>
    <x v="4"/>
    <s v="Wrapped2024"/>
  </r>
  <r>
    <s v="SP095"/>
    <x v="0"/>
    <d v="2024-03-22T00:00:00"/>
    <x v="1"/>
    <s v="Discover fresh beats on Spotify!"/>
    <n v="2319"/>
    <n v="484"/>
    <n v="193"/>
    <n v="21202"/>
    <n v="18091"/>
    <n v="241"/>
    <n v="0.14130742382794101"/>
    <x v="4"/>
    <s v="Wrapped2024"/>
  </r>
  <r>
    <s v="SP116"/>
    <x v="0"/>
    <d v="2025-05-04T00:00:00"/>
    <x v="1"/>
    <s v="New music just dropped. Hit play!"/>
    <n v="1311"/>
    <n v="181"/>
    <n v="361"/>
    <n v="37148"/>
    <n v="44875"/>
    <n v="245"/>
    <n v="4.9881554861634501E-2"/>
    <x v="4"/>
    <s v="Wrapped2024"/>
  </r>
  <r>
    <s v="SP117"/>
    <x v="0"/>
    <d v="2024-02-18T00:00:00"/>
    <x v="1"/>
    <s v="From pop to podcasts, itâ€™s all here."/>
    <n v="1516"/>
    <n v="215"/>
    <n v="332"/>
    <n v="58981"/>
    <n v="36118"/>
    <n v="211"/>
    <n v="3.4977365592309399E-2"/>
    <x v="4"/>
    <s v="Wrapped2024"/>
  </r>
  <r>
    <s v="SP121"/>
    <x v="0"/>
    <d v="2025-04-30T00:00:00"/>
    <x v="1"/>
    <s v="New music just dropped. Hit play!"/>
    <n v="3916"/>
    <n v="459"/>
    <n v="229"/>
    <n v="48989"/>
    <n v="39768"/>
    <n v="200"/>
    <n v="9.3980281287635997E-2"/>
    <x v="4"/>
    <s v="Wrapped2024"/>
  </r>
  <r>
    <s v="SP142"/>
    <x v="0"/>
    <d v="2024-12-21T00:00:00"/>
    <x v="1"/>
    <s v="New music just dropped. Hit play!"/>
    <n v="4563"/>
    <n v="398"/>
    <n v="163"/>
    <n v="43679"/>
    <n v="48760"/>
    <n v="92"/>
    <n v="0.11731037798484401"/>
    <x v="4"/>
    <s v="Wrapped2024"/>
  </r>
  <r>
    <s v="SP151"/>
    <x v="0"/>
    <d v="2024-08-12T00:00:00"/>
    <x v="1"/>
    <s v="Discover fresh beats on Spotify!"/>
    <n v="2962"/>
    <n v="400"/>
    <n v="280"/>
    <n v="52508"/>
    <n v="58329"/>
    <n v="219"/>
    <n v="6.9360859297630806E-2"/>
    <x v="4"/>
    <s v="Wrapped2024"/>
  </r>
  <r>
    <s v="SP159"/>
    <x v="0"/>
    <d v="2024-04-12T00:00:00"/>
    <x v="1"/>
    <s v="Get into the groove with our new drop!"/>
    <n v="1558"/>
    <n v="352"/>
    <n v="202"/>
    <n v="25405"/>
    <n v="69941"/>
    <n v="219"/>
    <n v="8.3133241487896095E-2"/>
    <x v="4"/>
    <s v="Wrapped2024"/>
  </r>
  <r>
    <s v="SP164"/>
    <x v="0"/>
    <d v="2025-06-27T00:00:00"/>
    <x v="1"/>
    <s v="Whatâ€™s your vibe today? #SpotifyHits"/>
    <n v="1342"/>
    <n v="332"/>
    <n v="163"/>
    <n v="51712"/>
    <n v="57922"/>
    <n v="168"/>
    <n v="3.5523669554455399E-2"/>
    <x v="4"/>
    <s v="Wrapped2024"/>
  </r>
  <r>
    <s v="SP165"/>
    <x v="0"/>
    <d v="2024-05-08T00:00:00"/>
    <x v="1"/>
    <s v="Music that moves youâ€”only on Spotify."/>
    <n v="2414"/>
    <n v="220"/>
    <n v="280"/>
    <n v="27355"/>
    <n v="50562"/>
    <n v="258"/>
    <n v="0.106525315298848"/>
    <x v="4"/>
    <s v="Wrapped2024"/>
  </r>
  <r>
    <s v="SP171"/>
    <x v="0"/>
    <d v="2024-09-01T00:00:00"/>
    <x v="1"/>
    <s v="Wrapped is here! Relive your top tracks ðŸŽ§"/>
    <n v="2335"/>
    <n v="150"/>
    <n v="75"/>
    <n v="26114"/>
    <n v="57549"/>
    <n v="135"/>
    <n v="9.8031707130274995E-2"/>
    <x v="4"/>
    <s v="Wrapped2024"/>
  </r>
  <r>
    <s v="SP178"/>
    <x v="0"/>
    <d v="2024-12-14T00:00:00"/>
    <x v="1"/>
    <s v="From pop to podcasts, itâ€™s all here."/>
    <n v="3812"/>
    <n v="321"/>
    <n v="289"/>
    <n v="59838"/>
    <n v="36337"/>
    <n v="161"/>
    <n v="7.3899528727564404E-2"/>
    <x v="4"/>
    <s v="Wrapped2024"/>
  </r>
  <r>
    <s v="SP213"/>
    <x v="0"/>
    <d v="2025-06-24T00:00:00"/>
    <x v="1"/>
    <s v="Get into the groove with our new drop!"/>
    <n v="4902"/>
    <n v="422"/>
    <n v="376"/>
    <n v="31674"/>
    <n v="53225"/>
    <n v="147"/>
    <n v="0.17995832544042401"/>
    <x v="4"/>
    <s v="Wrapped2024"/>
  </r>
  <r>
    <s v="SP266"/>
    <x v="0"/>
    <d v="2024-05-30T00:00:00"/>
    <x v="1"/>
    <s v="Get into the groove with our new drop!"/>
    <n v="2448"/>
    <n v="464"/>
    <n v="98"/>
    <n v="25737"/>
    <n v="48545"/>
    <n v="246"/>
    <n v="0.116952247736721"/>
    <x v="4"/>
    <s v="Wrapped2024"/>
  </r>
  <r>
    <s v="SP277"/>
    <x v="0"/>
    <d v="2025-02-03T00:00:00"/>
    <x v="1"/>
    <s v="New music just dropped. Hit play!"/>
    <n v="1205"/>
    <n v="486"/>
    <n v="269"/>
    <n v="23341"/>
    <n v="42411"/>
    <n v="184"/>
    <n v="8.3972409065592696E-2"/>
    <x v="4"/>
    <s v="Wrapped2024"/>
  </r>
  <r>
    <s v="SP284"/>
    <x v="0"/>
    <d v="2024-10-24T00:00:00"/>
    <x v="1"/>
    <s v="Top trending tracks updated daily!"/>
    <n v="1914"/>
    <n v="255"/>
    <n v="156"/>
    <n v="27660"/>
    <n v="47776"/>
    <n v="111"/>
    <n v="8.4056399132321005E-2"/>
    <x v="4"/>
    <s v="Wrapped2024"/>
  </r>
  <r>
    <s v="SP289"/>
    <x v="0"/>
    <d v="2025-01-21T00:00:00"/>
    <x v="1"/>
    <s v="New music just dropped. Hit play!"/>
    <n v="4918"/>
    <n v="440"/>
    <n v="149"/>
    <n v="53269"/>
    <n v="64370"/>
    <n v="269"/>
    <n v="0.103380953274888"/>
    <x v="4"/>
    <s v="Wrapped2024"/>
  </r>
  <r>
    <s v="SP295"/>
    <x v="0"/>
    <d v="2025-03-08T00:00:00"/>
    <x v="1"/>
    <s v="Top trending tracks updated daily!"/>
    <n v="2244"/>
    <n v="392"/>
    <n v="231"/>
    <n v="25834"/>
    <n v="50906"/>
    <n v="165"/>
    <n v="0.110977781218549"/>
    <x v="4"/>
    <s v="Wrapped2024"/>
  </r>
  <r>
    <s v="SP003"/>
    <x v="2"/>
    <d v="2024-12-03T00:00:00"/>
    <x v="1"/>
    <s v="New music just dropped. Hit play!"/>
    <n v="3092"/>
    <n v="177"/>
    <n v="81"/>
    <n v="47533"/>
    <n v="29220"/>
    <n v="121"/>
    <n v="7.0477352576105004E-2"/>
    <x v="5"/>
    <s v="ChillVibes"/>
  </r>
  <r>
    <s v="SP007"/>
    <x v="2"/>
    <d v="2024-12-19T00:00:00"/>
    <x v="1"/>
    <s v="Get into the groove with our new drop!"/>
    <n v="4674"/>
    <n v="409"/>
    <n v="327"/>
    <n v="20756"/>
    <n v="63599"/>
    <n v="212"/>
    <n v="0.26064752360763199"/>
    <x v="3"/>
    <s v="ChillVibes"/>
  </r>
  <r>
    <s v="SP008"/>
    <x v="2"/>
    <d v="2024-05-09T00:00:00"/>
    <x v="1"/>
    <s v="Wrapped is here! Relive your top tracks ðŸŽ§"/>
    <n v="1428"/>
    <n v="347"/>
    <n v="67"/>
    <n v="21148"/>
    <n v="19712"/>
    <n v="120"/>
    <n v="8.7100435029317205E-2"/>
    <x v="6"/>
    <s v="ChillVibes"/>
  </r>
  <r>
    <s v="SP013"/>
    <x v="2"/>
    <d v="2025-06-18T00:00:00"/>
    <x v="1"/>
    <s v="Discover fresh beats on Spotify!"/>
    <n v="3956"/>
    <n v="319"/>
    <n v="61"/>
    <n v="58162"/>
    <n v="28720"/>
    <n v="213"/>
    <n v="7.4550393727863595E-2"/>
    <x v="5"/>
    <s v="ChillVibes"/>
  </r>
  <r>
    <s v="SP016"/>
    <x v="2"/>
    <d v="2024-12-29T00:00:00"/>
    <x v="1"/>
    <s v="New music just dropped. Hit play!"/>
    <n v="4049"/>
    <n v="377"/>
    <n v="94"/>
    <n v="48182"/>
    <n v="42875"/>
    <n v="172"/>
    <n v="9.3810966751068897E-2"/>
    <x v="5"/>
    <s v="ChillVibes"/>
  </r>
  <r>
    <s v="SP026"/>
    <x v="2"/>
    <d v="2025-05-14T00:00:00"/>
    <x v="1"/>
    <s v="From pop to podcasts, itâ€™s all here."/>
    <n v="2707"/>
    <n v="103"/>
    <n v="51"/>
    <n v="55302"/>
    <n v="18801"/>
    <n v="147"/>
    <n v="5.1734114498571501E-2"/>
    <x v="6"/>
    <s v="ChillVibes"/>
  </r>
  <r>
    <s v="SP029"/>
    <x v="2"/>
    <d v="2025-03-18T00:00:00"/>
    <x v="1"/>
    <s v="Explore the latest podcasts now."/>
    <n v="3418"/>
    <n v="188"/>
    <n v="387"/>
    <n v="57431"/>
    <n v="36933"/>
    <n v="202"/>
    <n v="6.9526910553533799E-2"/>
    <x v="5"/>
    <s v="ChillVibes"/>
  </r>
  <r>
    <s v="SP032"/>
    <x v="2"/>
    <d v="2024-05-07T00:00:00"/>
    <x v="1"/>
    <s v="Explore the latest podcasts now."/>
    <n v="2776"/>
    <n v="307"/>
    <n v="178"/>
    <n v="43365"/>
    <n v="48408"/>
    <n v="138"/>
    <n v="7.5198893116568605E-2"/>
    <x v="3"/>
    <s v="ChillVibes"/>
  </r>
  <r>
    <s v="SP033"/>
    <x v="2"/>
    <d v="2024-10-09T00:00:00"/>
    <x v="1"/>
    <s v="Discover fresh beats on Spotify!"/>
    <n v="4929"/>
    <n v="182"/>
    <n v="95"/>
    <n v="32181"/>
    <n v="31084"/>
    <n v="289"/>
    <n v="0.16177247444144099"/>
    <x v="6"/>
    <s v="ChillVibes"/>
  </r>
  <r>
    <s v="SP035"/>
    <x v="2"/>
    <d v="2025-05-08T00:00:00"/>
    <x v="1"/>
    <s v="Your weekend playlist is waiting."/>
    <n v="3316"/>
    <n v="332"/>
    <n v="268"/>
    <n v="40095"/>
    <n v="36913"/>
    <n v="265"/>
    <n v="9.7668038408779106E-2"/>
    <x v="5"/>
    <s v="ChillVibes"/>
  </r>
  <r>
    <s v="SP037"/>
    <x v="2"/>
    <d v="2025-05-27T00:00:00"/>
    <x v="1"/>
    <s v="Explore the latest podcasts now."/>
    <n v="4095"/>
    <n v="385"/>
    <n v="400"/>
    <n v="45300"/>
    <n v="31795"/>
    <n v="80"/>
    <n v="0.107726269315673"/>
    <x v="5"/>
    <s v="ChillVibes"/>
  </r>
  <r>
    <s v="SP049"/>
    <x v="2"/>
    <d v="2024-08-29T00:00:00"/>
    <x v="1"/>
    <s v="Get into the groove with our new drop!"/>
    <n v="4276"/>
    <n v="227"/>
    <n v="223"/>
    <n v="43443"/>
    <n v="41005"/>
    <n v="191"/>
    <n v="0.108786225628985"/>
    <x v="6"/>
    <s v="ChillVibes"/>
  </r>
  <r>
    <s v="SP052"/>
    <x v="2"/>
    <d v="2024-09-04T00:00:00"/>
    <x v="1"/>
    <s v="New music just dropped. Hit play!"/>
    <n v="2613"/>
    <n v="455"/>
    <n v="228"/>
    <n v="21645"/>
    <n v="61334"/>
    <n v="261"/>
    <n v="0.15227535227535199"/>
    <x v="6"/>
    <s v="ChillVibes"/>
  </r>
  <r>
    <s v="SP053"/>
    <x v="2"/>
    <d v="2024-08-12T00:00:00"/>
    <x v="1"/>
    <s v="Whatâ€™s your vibe today? #SpotifyHits"/>
    <n v="2842"/>
    <n v="213"/>
    <n v="331"/>
    <n v="57660"/>
    <n v="68606"/>
    <n v="87"/>
    <n v="5.8723551855705901E-2"/>
    <x v="5"/>
    <s v="ChillVibes"/>
  </r>
  <r>
    <s v="SP062"/>
    <x v="2"/>
    <d v="2024-11-03T00:00:00"/>
    <x v="1"/>
    <s v="Wrapped is here! Relive your top tracks ðŸŽ§"/>
    <n v="1959"/>
    <n v="316"/>
    <n v="82"/>
    <n v="54036"/>
    <n v="69015"/>
    <n v="182"/>
    <n v="4.3619068768968802E-2"/>
    <x v="5"/>
    <s v="ChillVibes"/>
  </r>
  <r>
    <s v="SP064"/>
    <x v="2"/>
    <d v="2025-01-22T00:00:00"/>
    <x v="1"/>
    <s v="New music just dropped. Hit play!"/>
    <n v="4478"/>
    <n v="101"/>
    <n v="121"/>
    <n v="51035"/>
    <n v="58207"/>
    <n v="205"/>
    <n v="9.2093661212893099E-2"/>
    <x v="5"/>
    <s v="ChillVibes"/>
  </r>
  <r>
    <s v="SP069"/>
    <x v="2"/>
    <d v="2024-12-17T00:00:00"/>
    <x v="1"/>
    <s v="Music that moves youâ€”only on Spotify."/>
    <n v="1316"/>
    <n v="472"/>
    <n v="286"/>
    <n v="44692"/>
    <n v="53343"/>
    <n v="227"/>
    <n v="4.6406515707509199E-2"/>
    <x v="6"/>
    <s v="ChillVibes"/>
  </r>
  <r>
    <s v="SP074"/>
    <x v="2"/>
    <d v="2024-05-19T00:00:00"/>
    <x v="1"/>
    <s v="Get into the groove with our new drop!"/>
    <n v="1763"/>
    <n v="206"/>
    <n v="187"/>
    <n v="53342"/>
    <n v="25095"/>
    <n v="88"/>
    <n v="4.04184320047992E-2"/>
    <x v="6"/>
    <s v="ChillVibes"/>
  </r>
  <r>
    <s v="SP075"/>
    <x v="2"/>
    <d v="2024-01-22T00:00:00"/>
    <x v="1"/>
    <s v="From pop to podcasts, itâ€™s all here."/>
    <n v="1554"/>
    <n v="455"/>
    <n v="158"/>
    <n v="41947"/>
    <n v="48578"/>
    <n v="101"/>
    <n v="5.1660428636136103E-2"/>
    <x v="3"/>
    <s v="ChillVibes"/>
  </r>
  <r>
    <s v="SP078"/>
    <x v="2"/>
    <d v="2025-01-21T00:00:00"/>
    <x v="1"/>
    <s v="Discover fresh beats on Spotify!"/>
    <n v="2494"/>
    <n v="494"/>
    <n v="55"/>
    <n v="22580"/>
    <n v="22214"/>
    <n v="109"/>
    <n v="0.134765279007972"/>
    <x v="5"/>
    <s v="ChillVibes"/>
  </r>
  <r>
    <s v="SP083"/>
    <x v="2"/>
    <d v="2025-01-03T00:00:00"/>
    <x v="1"/>
    <s v="Get into the groove with our new drop!"/>
    <n v="4845"/>
    <n v="158"/>
    <n v="84"/>
    <n v="34578"/>
    <n v="51480"/>
    <n v="180"/>
    <n v="0.14711666377465399"/>
    <x v="3"/>
    <s v="ChillVibes"/>
  </r>
  <r>
    <s v="SP086"/>
    <x v="2"/>
    <d v="2025-05-14T00:00:00"/>
    <x v="1"/>
    <s v="Wrapped is here! Relive your top tracks ðŸŽ§"/>
    <n v="1371"/>
    <n v="139"/>
    <n v="96"/>
    <n v="36140"/>
    <n v="39395"/>
    <n v="169"/>
    <n v="4.4438295517432197E-2"/>
    <x v="3"/>
    <s v="ChillVibes"/>
  </r>
  <r>
    <s v="SP087"/>
    <x v="2"/>
    <d v="2024-04-23T00:00:00"/>
    <x v="1"/>
    <s v="Discover fresh beats on Spotify!"/>
    <n v="2683"/>
    <n v="496"/>
    <n v="89"/>
    <n v="53435"/>
    <n v="30334"/>
    <n v="160"/>
    <n v="6.1158416768035899E-2"/>
    <x v="3"/>
    <s v="ChillVibes"/>
  </r>
  <r>
    <s v="SP088"/>
    <x v="2"/>
    <d v="2025-02-17T00:00:00"/>
    <x v="1"/>
    <s v="Whatâ€™s your vibe today? #SpotifyHits"/>
    <n v="4796"/>
    <n v="427"/>
    <n v="339"/>
    <n v="30752"/>
    <n v="33870"/>
    <n v="298"/>
    <n v="0.18086628511966699"/>
    <x v="3"/>
    <s v="ChillVibes"/>
  </r>
  <r>
    <s v="SP090"/>
    <x v="2"/>
    <d v="2024-07-22T00:00:00"/>
    <x v="1"/>
    <s v="Wrapped is here! Relive your top tracks ðŸŽ§"/>
    <n v="3336"/>
    <n v="229"/>
    <n v="337"/>
    <n v="22117"/>
    <n v="26205"/>
    <n v="160"/>
    <n v="0.17642537414658399"/>
    <x v="5"/>
    <s v="ChillVibes"/>
  </r>
  <r>
    <s v="SP094"/>
    <x v="2"/>
    <d v="2024-11-13T00:00:00"/>
    <x v="1"/>
    <s v="Top trending tracks updated daily!"/>
    <n v="4628"/>
    <n v="257"/>
    <n v="397"/>
    <n v="36686"/>
    <n v="54683"/>
    <n v="98"/>
    <n v="0.14397862944992601"/>
    <x v="3"/>
    <s v="ChillVibes"/>
  </r>
  <r>
    <s v="SP096"/>
    <x v="2"/>
    <d v="2024-03-16T00:00:00"/>
    <x v="1"/>
    <s v="Wrapped is here! Relive your top tracks ðŸŽ§"/>
    <n v="2895"/>
    <n v="292"/>
    <n v="90"/>
    <n v="24223"/>
    <n v="54626"/>
    <n v="114"/>
    <n v="0.13528464682326699"/>
    <x v="3"/>
    <s v="ChillVibes"/>
  </r>
  <r>
    <s v="SP098"/>
    <x v="2"/>
    <d v="2024-03-15T00:00:00"/>
    <x v="1"/>
    <s v="Get into the groove with our new drop!"/>
    <n v="4969"/>
    <n v="433"/>
    <n v="237"/>
    <n v="59552"/>
    <n v="23885"/>
    <n v="157"/>
    <n v="9.4690354648038697E-2"/>
    <x v="6"/>
    <s v="ChillVibes"/>
  </r>
  <r>
    <s v="SP104"/>
    <x v="2"/>
    <d v="2024-05-01T00:00:00"/>
    <x v="1"/>
    <s v="Whatâ€™s your vibe today? #SpotifyHits"/>
    <n v="2587"/>
    <n v="447"/>
    <n v="183"/>
    <n v="36266"/>
    <n v="32877"/>
    <n v="132"/>
    <n v="8.8705674736668003E-2"/>
    <x v="6"/>
    <s v="ChillVibes"/>
  </r>
  <r>
    <s v="SP106"/>
    <x v="2"/>
    <d v="2025-01-20T00:00:00"/>
    <x v="1"/>
    <s v="New music just dropped. Hit play!"/>
    <n v="4619"/>
    <n v="272"/>
    <n v="57"/>
    <n v="21334"/>
    <n v="46292"/>
    <n v="91"/>
    <n v="0.23193025217961899"/>
    <x v="3"/>
    <s v="ChillVibes"/>
  </r>
  <r>
    <s v="SP118"/>
    <x v="2"/>
    <d v="2024-05-16T00:00:00"/>
    <x v="1"/>
    <s v="Music that moves youâ€”only on Spotify."/>
    <n v="2023"/>
    <n v="124"/>
    <n v="99"/>
    <n v="54524"/>
    <n v="34790"/>
    <n v="195"/>
    <n v="4.1192869195216801E-2"/>
    <x v="6"/>
    <s v="ChillVibes"/>
  </r>
  <r>
    <s v="SP119"/>
    <x v="2"/>
    <d v="2025-05-29T00:00:00"/>
    <x v="1"/>
    <s v="Music that moves youâ€”only on Spotify."/>
    <n v="2134"/>
    <n v="322"/>
    <n v="114"/>
    <n v="44338"/>
    <n v="52165"/>
    <n v="176"/>
    <n v="5.7963823356939899E-2"/>
    <x v="5"/>
    <s v="ChillVibes"/>
  </r>
  <r>
    <s v="SP122"/>
    <x v="2"/>
    <d v="2024-02-24T00:00:00"/>
    <x v="1"/>
    <s v="Music that moves youâ€”only on Spotify."/>
    <n v="1022"/>
    <n v="463"/>
    <n v="360"/>
    <n v="51468"/>
    <n v="24279"/>
    <n v="230"/>
    <n v="3.5847516903707202E-2"/>
    <x v="6"/>
    <s v="ChillVibes"/>
  </r>
  <r>
    <s v="SP124"/>
    <x v="2"/>
    <d v="2024-05-09T00:00:00"/>
    <x v="1"/>
    <s v="New music just dropped. Hit play!"/>
    <n v="3277"/>
    <n v="423"/>
    <n v="259"/>
    <n v="46328"/>
    <n v="44293"/>
    <n v="299"/>
    <n v="8.5455879813503693E-2"/>
    <x v="3"/>
    <s v="ChillVibes"/>
  </r>
  <r>
    <s v="SP126"/>
    <x v="2"/>
    <d v="2024-01-04T00:00:00"/>
    <x v="1"/>
    <s v="Whatâ€™s your vibe today? #SpotifyHits"/>
    <n v="3208"/>
    <n v="476"/>
    <n v="277"/>
    <n v="56072"/>
    <n v="21061"/>
    <n v="113"/>
    <n v="7.0641318305036394E-2"/>
    <x v="5"/>
    <s v="ChillVibes"/>
  </r>
  <r>
    <s v="SP129"/>
    <x v="2"/>
    <d v="2025-07-01T00:00:00"/>
    <x v="1"/>
    <s v="Explore the latest podcasts now."/>
    <n v="3219"/>
    <n v="424"/>
    <n v="267"/>
    <n v="48879"/>
    <n v="37691"/>
    <n v="224"/>
    <n v="7.9993453221219799E-2"/>
    <x v="6"/>
    <s v="ChillVibes"/>
  </r>
  <r>
    <s v="SP135"/>
    <x v="2"/>
    <d v="2024-10-04T00:00:00"/>
    <x v="1"/>
    <s v="Explore the latest podcasts now."/>
    <n v="2870"/>
    <n v="380"/>
    <n v="393"/>
    <n v="37621"/>
    <n v="71794"/>
    <n v="127"/>
    <n v="9.6834214933149004E-2"/>
    <x v="5"/>
    <s v="ChillVibes"/>
  </r>
  <r>
    <s v="SP137"/>
    <x v="2"/>
    <d v="2024-04-05T00:00:00"/>
    <x v="1"/>
    <s v="New music just dropped. Hit play!"/>
    <n v="4965"/>
    <n v="175"/>
    <n v="307"/>
    <n v="32793"/>
    <n v="43412"/>
    <n v="296"/>
    <n v="0.16610252187966901"/>
    <x v="3"/>
    <s v="ChillVibes"/>
  </r>
  <r>
    <s v="SP138"/>
    <x v="2"/>
    <d v="2024-11-28T00:00:00"/>
    <x v="1"/>
    <s v="New music just dropped. Hit play!"/>
    <n v="1131"/>
    <n v="100"/>
    <n v="116"/>
    <n v="48437"/>
    <n v="72704"/>
    <n v="236"/>
    <n v="2.78093193220059E-2"/>
    <x v="6"/>
    <s v="ChillVibes"/>
  </r>
  <r>
    <s v="SP140"/>
    <x v="2"/>
    <d v="2024-08-27T00:00:00"/>
    <x v="1"/>
    <s v="New music just dropped. Hit play!"/>
    <n v="1856"/>
    <n v="357"/>
    <n v="348"/>
    <n v="29428"/>
    <n v="70206"/>
    <n v="236"/>
    <n v="8.7025961669158602E-2"/>
    <x v="5"/>
    <s v="ChillVibes"/>
  </r>
  <r>
    <s v="SP145"/>
    <x v="2"/>
    <d v="2025-05-28T00:00:00"/>
    <x v="1"/>
    <s v="Top trending tracks updated daily!"/>
    <n v="4287"/>
    <n v="273"/>
    <n v="122"/>
    <n v="40792"/>
    <n v="23878"/>
    <n v="277"/>
    <n v="0.114777407334772"/>
    <x v="5"/>
    <s v="ChillVibes"/>
  </r>
  <r>
    <s v="SP147"/>
    <x v="2"/>
    <d v="2024-01-21T00:00:00"/>
    <x v="1"/>
    <s v="Discover fresh beats on Spotify!"/>
    <n v="2383"/>
    <n v="136"/>
    <n v="302"/>
    <n v="39187"/>
    <n v="22133"/>
    <n v="208"/>
    <n v="7.1988159338556207E-2"/>
    <x v="5"/>
    <s v="ChillVibes"/>
  </r>
  <r>
    <s v="SP148"/>
    <x v="2"/>
    <d v="2025-02-08T00:00:00"/>
    <x v="1"/>
    <s v="Your weekend playlist is waiting."/>
    <n v="4752"/>
    <n v="334"/>
    <n v="56"/>
    <n v="48017"/>
    <n v="55534"/>
    <n v="270"/>
    <n v="0.107087073328196"/>
    <x v="6"/>
    <s v="ChillVibes"/>
  </r>
  <r>
    <s v="SP150"/>
    <x v="2"/>
    <d v="2024-05-30T00:00:00"/>
    <x v="1"/>
    <s v="Your weekend playlist is waiting."/>
    <n v="2311"/>
    <n v="207"/>
    <n v="363"/>
    <n v="30349"/>
    <n v="32925"/>
    <n v="88"/>
    <n v="9.4928992718046695E-2"/>
    <x v="5"/>
    <s v="ChillVibes"/>
  </r>
  <r>
    <s v="SP153"/>
    <x v="2"/>
    <d v="2025-06-11T00:00:00"/>
    <x v="1"/>
    <s v="Explore the latest podcasts now."/>
    <n v="3805"/>
    <n v="453"/>
    <n v="63"/>
    <n v="52395"/>
    <n v="72934"/>
    <n v="87"/>
    <n v="8.2469701307376603E-2"/>
    <x v="6"/>
    <s v="ChillVibes"/>
  </r>
  <r>
    <s v="SP158"/>
    <x v="2"/>
    <d v="2025-03-21T00:00:00"/>
    <x v="1"/>
    <s v="New music just dropped. Hit play!"/>
    <n v="4609"/>
    <n v="427"/>
    <n v="395"/>
    <n v="33698"/>
    <n v="29259"/>
    <n v="216"/>
    <n v="0.16116683482699301"/>
    <x v="6"/>
    <s v="ChillVibes"/>
  </r>
  <r>
    <s v="SP175"/>
    <x v="2"/>
    <d v="2025-04-01T00:00:00"/>
    <x v="1"/>
    <s v="Music that moves youâ€”only on Spotify."/>
    <n v="2665"/>
    <n v="143"/>
    <n v="315"/>
    <n v="54808"/>
    <n v="29818"/>
    <n v="98"/>
    <n v="5.6980732739746E-2"/>
    <x v="6"/>
    <s v="ChillVibes"/>
  </r>
  <r>
    <s v="SP180"/>
    <x v="2"/>
    <d v="2025-04-30T00:00:00"/>
    <x v="1"/>
    <s v="Wrapped is here! Relive your top tracks ðŸŽ§"/>
    <n v="3929"/>
    <n v="275"/>
    <n v="330"/>
    <n v="58329"/>
    <n v="33196"/>
    <n v="85"/>
    <n v="7.7731488624869297E-2"/>
    <x v="5"/>
    <s v="ChillVibes"/>
  </r>
  <r>
    <s v="SP184"/>
    <x v="2"/>
    <d v="2024-07-13T00:00:00"/>
    <x v="1"/>
    <s v="Get into the groove with our new drop!"/>
    <n v="2408"/>
    <n v="323"/>
    <n v="251"/>
    <n v="47599"/>
    <n v="35543"/>
    <n v="287"/>
    <n v="6.2648374965860607E-2"/>
    <x v="5"/>
    <s v="ChillVibes"/>
  </r>
  <r>
    <s v="SP186"/>
    <x v="2"/>
    <d v="2024-06-16T00:00:00"/>
    <x v="1"/>
    <s v="Explore the latest podcasts now."/>
    <n v="4618"/>
    <n v="312"/>
    <n v="254"/>
    <n v="22571"/>
    <n v="29453"/>
    <n v="197"/>
    <n v="0.229675246998361"/>
    <x v="5"/>
    <s v="ChillVibes"/>
  </r>
  <r>
    <s v="SP192"/>
    <x v="2"/>
    <d v="2024-09-16T00:00:00"/>
    <x v="1"/>
    <s v="Whatâ€™s your vibe today? #SpotifyHits"/>
    <n v="4422"/>
    <n v="434"/>
    <n v="156"/>
    <n v="56165"/>
    <n v="52431"/>
    <n v="173"/>
    <n v="8.9237069349238807E-2"/>
    <x v="6"/>
    <s v="ChillVibes"/>
  </r>
  <r>
    <s v="SP194"/>
    <x v="2"/>
    <d v="2024-05-10T00:00:00"/>
    <x v="1"/>
    <s v="Explore the latest podcasts now."/>
    <n v="2784"/>
    <n v="111"/>
    <n v="399"/>
    <n v="58366"/>
    <n v="69512"/>
    <n v="269"/>
    <n v="5.6436966727204198E-2"/>
    <x v="5"/>
    <s v="ChillVibes"/>
  </r>
  <r>
    <s v="SP198"/>
    <x v="2"/>
    <d v="2025-02-01T00:00:00"/>
    <x v="1"/>
    <s v="Top trending tracks updated daily!"/>
    <n v="1079"/>
    <n v="265"/>
    <n v="190"/>
    <n v="43786"/>
    <n v="72428"/>
    <n v="222"/>
    <n v="3.5034029141734799E-2"/>
    <x v="3"/>
    <s v="ChillVibes"/>
  </r>
  <r>
    <s v="SP199"/>
    <x v="2"/>
    <d v="2024-07-11T00:00:00"/>
    <x v="1"/>
    <s v="Get into the groove with our new drop!"/>
    <n v="4247"/>
    <n v="179"/>
    <n v="175"/>
    <n v="32991"/>
    <n v="70120"/>
    <n v="276"/>
    <n v="0.139462277590858"/>
    <x v="3"/>
    <s v="ChillVibes"/>
  </r>
  <r>
    <s v="SP201"/>
    <x v="2"/>
    <d v="2024-09-12T00:00:00"/>
    <x v="1"/>
    <s v="Wrapped is here! Relive your top tracks ðŸŽ§"/>
    <n v="1839"/>
    <n v="223"/>
    <n v="171"/>
    <n v="35459"/>
    <n v="69988"/>
    <n v="114"/>
    <n v="6.2974139146620006E-2"/>
    <x v="5"/>
    <s v="ChillVibes"/>
  </r>
  <r>
    <s v="SP202"/>
    <x v="2"/>
    <d v="2024-01-11T00:00:00"/>
    <x v="1"/>
    <s v="Wrapped is here! Relive your top tracks ðŸŽ§"/>
    <n v="2340"/>
    <n v="141"/>
    <n v="206"/>
    <n v="24916"/>
    <n v="30582"/>
    <n v="157"/>
    <n v="0.107842350296998"/>
    <x v="3"/>
    <s v="ChillVibes"/>
  </r>
  <r>
    <s v="SP206"/>
    <x v="2"/>
    <d v="2024-08-21T00:00:00"/>
    <x v="1"/>
    <s v="Explore the latest podcasts now."/>
    <n v="3989"/>
    <n v="476"/>
    <n v="128"/>
    <n v="57569"/>
    <n v="40193"/>
    <n v="222"/>
    <n v="7.9782521843353202E-2"/>
    <x v="6"/>
    <s v="ChillVibes"/>
  </r>
  <r>
    <s v="SP207"/>
    <x v="2"/>
    <d v="2024-04-05T00:00:00"/>
    <x v="1"/>
    <s v="Wrapped is here! Relive your top tracks ðŸŽ§"/>
    <n v="2857"/>
    <n v="443"/>
    <n v="359"/>
    <n v="51519"/>
    <n v="28256"/>
    <n v="155"/>
    <n v="7.1022341272151998E-2"/>
    <x v="3"/>
    <s v="ChillVibes"/>
  </r>
  <r>
    <s v="SP209"/>
    <x v="2"/>
    <d v="2024-07-19T00:00:00"/>
    <x v="1"/>
    <s v="Whatâ€™s your vibe today? #SpotifyHits"/>
    <n v="3071"/>
    <n v="126"/>
    <n v="200"/>
    <n v="44013"/>
    <n v="44679"/>
    <n v="118"/>
    <n v="7.7181741758116901E-2"/>
    <x v="6"/>
    <s v="ChillVibes"/>
  </r>
  <r>
    <s v="SP210"/>
    <x v="2"/>
    <d v="2025-05-03T00:00:00"/>
    <x v="1"/>
    <s v="Top trending tracks updated daily!"/>
    <n v="1010"/>
    <n v="361"/>
    <n v="240"/>
    <n v="47229"/>
    <n v="72573"/>
    <n v="275"/>
    <n v="3.4110398272248002E-2"/>
    <x v="3"/>
    <s v="ChillVibes"/>
  </r>
  <r>
    <s v="SP211"/>
    <x v="2"/>
    <d v="2024-04-14T00:00:00"/>
    <x v="1"/>
    <s v="Discover fresh beats on Spotify!"/>
    <n v="1295"/>
    <n v="153"/>
    <n v="81"/>
    <n v="48350"/>
    <n v="61033"/>
    <n v="232"/>
    <n v="3.1623578076525299E-2"/>
    <x v="6"/>
    <s v="ChillVibes"/>
  </r>
  <r>
    <s v="SP212"/>
    <x v="2"/>
    <d v="2025-06-19T00:00:00"/>
    <x v="1"/>
    <s v="Whatâ€™s your vibe today? #SpotifyHits"/>
    <n v="1433"/>
    <n v="452"/>
    <n v="305"/>
    <n v="54541"/>
    <n v="63700"/>
    <n v="296"/>
    <n v="4.0153279184466699E-2"/>
    <x v="6"/>
    <s v="ChillVibes"/>
  </r>
  <r>
    <s v="SP218"/>
    <x v="2"/>
    <d v="2024-10-14T00:00:00"/>
    <x v="1"/>
    <s v="Explore the latest podcasts now."/>
    <n v="4303"/>
    <n v="306"/>
    <n v="302"/>
    <n v="39575"/>
    <n v="33762"/>
    <n v="265"/>
    <n v="0.12409349336702501"/>
    <x v="6"/>
    <s v="ChillVibes"/>
  </r>
  <r>
    <s v="SP221"/>
    <x v="2"/>
    <d v="2025-05-09T00:00:00"/>
    <x v="1"/>
    <s v="Music that moves youâ€”only on Spotify."/>
    <n v="2778"/>
    <n v="241"/>
    <n v="317"/>
    <n v="26247"/>
    <n v="20677"/>
    <n v="282"/>
    <n v="0.127100240027432"/>
    <x v="5"/>
    <s v="ChillVibes"/>
  </r>
  <r>
    <s v="SP226"/>
    <x v="2"/>
    <d v="2024-01-17T00:00:00"/>
    <x v="1"/>
    <s v="New music just dropped. Hit play!"/>
    <n v="2174"/>
    <n v="499"/>
    <n v="212"/>
    <n v="54938"/>
    <n v="27190"/>
    <n v="265"/>
    <n v="5.2513742764570999E-2"/>
    <x v="5"/>
    <s v="ChillVibes"/>
  </r>
  <r>
    <s v="SP239"/>
    <x v="2"/>
    <d v="2024-12-13T00:00:00"/>
    <x v="1"/>
    <s v="New music just dropped. Hit play!"/>
    <n v="4984"/>
    <n v="300"/>
    <n v="338"/>
    <n v="32900"/>
    <n v="31691"/>
    <n v="160"/>
    <n v="0.17088145896656501"/>
    <x v="5"/>
    <s v="ChillVibes"/>
  </r>
  <r>
    <s v="SP242"/>
    <x v="2"/>
    <d v="2025-04-12T00:00:00"/>
    <x v="1"/>
    <s v="From pop to podcasts, itâ€™s all here."/>
    <n v="4315"/>
    <n v="208"/>
    <n v="273"/>
    <n v="35780"/>
    <n v="44349"/>
    <n v="133"/>
    <n v="0.13404136389044199"/>
    <x v="6"/>
    <s v="ChillVibes"/>
  </r>
  <r>
    <s v="SP243"/>
    <x v="2"/>
    <d v="2024-12-10T00:00:00"/>
    <x v="1"/>
    <s v="Wrapped is here! Relive your top tracks ðŸŽ§"/>
    <n v="2267"/>
    <n v="230"/>
    <n v="243"/>
    <n v="27904"/>
    <n v="69771"/>
    <n v="255"/>
    <n v="9.8193807339449601E-2"/>
    <x v="6"/>
    <s v="ChillVibes"/>
  </r>
  <r>
    <s v="SP245"/>
    <x v="2"/>
    <d v="2025-01-09T00:00:00"/>
    <x v="1"/>
    <s v="Your weekend playlist is waiting."/>
    <n v="3817"/>
    <n v="284"/>
    <n v="204"/>
    <n v="46434"/>
    <n v="53396"/>
    <n v="104"/>
    <n v="9.2712236723090799E-2"/>
    <x v="5"/>
    <s v="ChillVibes"/>
  </r>
  <r>
    <s v="SP246"/>
    <x v="2"/>
    <d v="2024-07-08T00:00:00"/>
    <x v="1"/>
    <s v="Top trending tracks updated daily!"/>
    <n v="2981"/>
    <n v="258"/>
    <n v="168"/>
    <n v="20677"/>
    <n v="68290"/>
    <n v="130"/>
    <n v="0.164772452483436"/>
    <x v="3"/>
    <s v="ChillVibes"/>
  </r>
  <r>
    <s v="SP247"/>
    <x v="2"/>
    <d v="2024-09-16T00:00:00"/>
    <x v="1"/>
    <s v="Your weekend playlist is waiting."/>
    <n v="3300"/>
    <n v="354"/>
    <n v="397"/>
    <n v="56773"/>
    <n v="72110"/>
    <n v="163"/>
    <n v="7.1354340971940905E-2"/>
    <x v="6"/>
    <s v="ChillVibes"/>
  </r>
  <r>
    <s v="SP255"/>
    <x v="2"/>
    <d v="2024-04-03T00:00:00"/>
    <x v="1"/>
    <s v="Top trending tracks updated daily!"/>
    <n v="2291"/>
    <n v="146"/>
    <n v="399"/>
    <n v="49319"/>
    <n v="28056"/>
    <n v="90"/>
    <n v="5.7503193495407397E-2"/>
    <x v="6"/>
    <s v="ChillVibes"/>
  </r>
  <r>
    <s v="SP256"/>
    <x v="2"/>
    <d v="2024-07-08T00:00:00"/>
    <x v="1"/>
    <s v="Wrapped is here! Relive your top tracks ðŸŽ§"/>
    <n v="2304"/>
    <n v="289"/>
    <n v="161"/>
    <n v="52645"/>
    <n v="66262"/>
    <n v="146"/>
    <n v="5.2312660271630701E-2"/>
    <x v="5"/>
    <s v="ChillVibes"/>
  </r>
  <r>
    <s v="SP257"/>
    <x v="2"/>
    <d v="2024-06-08T00:00:00"/>
    <x v="1"/>
    <s v="Top trending tracks updated daily!"/>
    <n v="3413"/>
    <n v="326"/>
    <n v="86"/>
    <n v="44680"/>
    <n v="52719"/>
    <n v="272"/>
    <n v="8.5608773500447599E-2"/>
    <x v="6"/>
    <s v="ChillVibes"/>
  </r>
  <r>
    <s v="SP259"/>
    <x v="2"/>
    <d v="2025-01-19T00:00:00"/>
    <x v="1"/>
    <s v="Music that moves youâ€”only on Spotify."/>
    <n v="1651"/>
    <n v="480"/>
    <n v="282"/>
    <n v="32140"/>
    <n v="70560"/>
    <n v="138"/>
    <n v="7.5077784691972599E-2"/>
    <x v="3"/>
    <s v="ChillVibes"/>
  </r>
  <r>
    <s v="SP260"/>
    <x v="2"/>
    <d v="2025-01-05T00:00:00"/>
    <x v="1"/>
    <s v="Explore the latest podcasts now."/>
    <n v="3341"/>
    <n v="154"/>
    <n v="123"/>
    <n v="43369"/>
    <n v="49035"/>
    <n v="128"/>
    <n v="8.3423643616408E-2"/>
    <x v="5"/>
    <s v="ChillVibes"/>
  </r>
  <r>
    <s v="SP262"/>
    <x v="2"/>
    <d v="2024-11-30T00:00:00"/>
    <x v="1"/>
    <s v="Explore the latest podcasts now."/>
    <n v="4963"/>
    <n v="255"/>
    <n v="193"/>
    <n v="44386"/>
    <n v="28415"/>
    <n v="174"/>
    <n v="0.121907808768531"/>
    <x v="5"/>
    <s v="ChillVibes"/>
  </r>
  <r>
    <s v="SP265"/>
    <x v="2"/>
    <d v="2025-06-17T00:00:00"/>
    <x v="1"/>
    <s v="Explore the latest podcasts now."/>
    <n v="4341"/>
    <n v="141"/>
    <n v="63"/>
    <n v="50081"/>
    <n v="27507"/>
    <n v="221"/>
    <n v="9.0752980172121203E-2"/>
    <x v="6"/>
    <s v="ChillVibes"/>
  </r>
  <r>
    <s v="SP270"/>
    <x v="2"/>
    <d v="2024-11-13T00:00:00"/>
    <x v="1"/>
    <s v="New music just dropped. Hit play!"/>
    <n v="1409"/>
    <n v="466"/>
    <n v="105"/>
    <n v="58923"/>
    <n v="38753"/>
    <n v="265"/>
    <n v="3.3603177027646203E-2"/>
    <x v="6"/>
    <s v="ChillVibes"/>
  </r>
  <r>
    <s v="SP271"/>
    <x v="2"/>
    <d v="2025-02-05T00:00:00"/>
    <x v="1"/>
    <s v="Discover fresh beats on Spotify!"/>
    <n v="3029"/>
    <n v="440"/>
    <n v="66"/>
    <n v="23815"/>
    <n v="47895"/>
    <n v="210"/>
    <n v="0.14843585975225701"/>
    <x v="6"/>
    <s v="ChillVibes"/>
  </r>
  <r>
    <s v="SP279"/>
    <x v="2"/>
    <d v="2025-01-19T00:00:00"/>
    <x v="1"/>
    <s v="New music just dropped. Hit play!"/>
    <n v="3507"/>
    <n v="295"/>
    <n v="371"/>
    <n v="20410"/>
    <n v="53965"/>
    <n v="212"/>
    <n v="0.20445859872611499"/>
    <x v="3"/>
    <s v="ChillVibes"/>
  </r>
  <r>
    <s v="SP280"/>
    <x v="2"/>
    <d v="2024-09-28T00:00:00"/>
    <x v="1"/>
    <s v="Wrapped is here! Relive your top tracks ðŸŽ§"/>
    <n v="4471"/>
    <n v="317"/>
    <n v="249"/>
    <n v="44862"/>
    <n v="33365"/>
    <n v="184"/>
    <n v="0.11227765146449099"/>
    <x v="6"/>
    <s v="ChillVibes"/>
  </r>
  <r>
    <s v="SP282"/>
    <x v="2"/>
    <d v="2024-02-21T00:00:00"/>
    <x v="1"/>
    <s v="Get into the groove with our new drop!"/>
    <n v="2604"/>
    <n v="439"/>
    <n v="148"/>
    <n v="58468"/>
    <n v="39629"/>
    <n v="163"/>
    <n v="5.4576862557296303E-2"/>
    <x v="5"/>
    <s v="ChillVibes"/>
  </r>
  <r>
    <s v="SP288"/>
    <x v="2"/>
    <d v="2024-08-09T00:00:00"/>
    <x v="1"/>
    <s v="From pop to podcasts, itâ€™s all here."/>
    <n v="4877"/>
    <n v="442"/>
    <n v="236"/>
    <n v="52673"/>
    <n v="48241"/>
    <n v="114"/>
    <n v="0.10546200140489401"/>
    <x v="6"/>
    <s v="ChillVibes"/>
  </r>
  <r>
    <s v="SP292"/>
    <x v="2"/>
    <d v="2024-11-03T00:00:00"/>
    <x v="1"/>
    <s v="Explore the latest podcasts now."/>
    <n v="3061"/>
    <n v="320"/>
    <n v="76"/>
    <n v="26640"/>
    <n v="24306"/>
    <n v="112"/>
    <n v="0.12976726726726701"/>
    <x v="5"/>
    <s v="ChillVibes"/>
  </r>
  <r>
    <s v="SP296"/>
    <x v="2"/>
    <d v="2025-03-20T00:00:00"/>
    <x v="1"/>
    <s v="Your weekend playlist is waiting."/>
    <n v="3393"/>
    <n v="104"/>
    <n v="79"/>
    <n v="30025"/>
    <n v="21593"/>
    <n v="165"/>
    <n v="0.11910074937552"/>
    <x v="5"/>
    <s v="ChillVibes"/>
  </r>
  <r>
    <s v="SP299"/>
    <x v="2"/>
    <d v="2024-01-12T00:00:00"/>
    <x v="1"/>
    <s v="Wrapped is here! Relive your top tracks ðŸŽ§"/>
    <n v="2227"/>
    <n v="494"/>
    <n v="161"/>
    <n v="51651"/>
    <n v="68074"/>
    <n v="240"/>
    <n v="5.5797564422760397E-2"/>
    <x v="6"/>
    <s v="ChillVibes"/>
  </r>
  <r>
    <s v="SP019"/>
    <x v="1"/>
    <d v="2024-06-15T00:00:00"/>
    <x v="2"/>
    <s v="Get into the groove with our new drop!"/>
    <n v="1751"/>
    <n v="143"/>
    <n v="151"/>
    <n v="31826"/>
    <n v="47729"/>
    <n v="95"/>
    <n v="6.4255640042732404E-2"/>
    <x v="7"/>
    <s v="SummerBeats"/>
  </r>
  <r>
    <s v="SP023"/>
    <x v="1"/>
    <d v="2024-06-09T00:00:00"/>
    <x v="2"/>
    <s v="From pop to podcasts, itâ€™s all here."/>
    <n v="2786"/>
    <n v="368"/>
    <n v="208"/>
    <n v="42000"/>
    <n v="39967"/>
    <n v="103"/>
    <n v="8.0047619047619006E-2"/>
    <x v="7"/>
    <s v="SummerBeats"/>
  </r>
  <r>
    <s v="SP025"/>
    <x v="1"/>
    <d v="2024-10-10T00:00:00"/>
    <x v="2"/>
    <s v="From pop to podcasts, itâ€™s all here."/>
    <n v="4013"/>
    <n v="320"/>
    <n v="92"/>
    <n v="54605"/>
    <n v="60169"/>
    <n v="232"/>
    <n v="8.1036535115831906E-2"/>
    <x v="7"/>
    <s v="SummerBeats"/>
  </r>
  <r>
    <s v="SP028"/>
    <x v="1"/>
    <d v="2024-03-05T00:00:00"/>
    <x v="2"/>
    <s v="Explore the latest podcasts now."/>
    <n v="3558"/>
    <n v="314"/>
    <n v="199"/>
    <n v="49612"/>
    <n v="53929"/>
    <n v="206"/>
    <n v="8.2056760461178699E-2"/>
    <x v="7"/>
    <s v="SummerBeats"/>
  </r>
  <r>
    <s v="SP047"/>
    <x v="1"/>
    <d v="2024-03-14T00:00:00"/>
    <x v="2"/>
    <s v="From pop to podcasts, itâ€™s all here."/>
    <n v="3361"/>
    <n v="188"/>
    <n v="358"/>
    <n v="39838"/>
    <n v="24536"/>
    <n v="120"/>
    <n v="9.8072192379135503E-2"/>
    <x v="7"/>
    <s v="SummerBeats"/>
  </r>
  <r>
    <s v="SP051"/>
    <x v="1"/>
    <d v="2024-05-13T00:00:00"/>
    <x v="2"/>
    <s v="Explore the latest podcasts now."/>
    <n v="4161"/>
    <n v="481"/>
    <n v="61"/>
    <n v="45884"/>
    <n v="48955"/>
    <n v="215"/>
    <n v="0.102497602650161"/>
    <x v="7"/>
    <s v="SummerBeats"/>
  </r>
  <r>
    <s v="SP061"/>
    <x v="1"/>
    <d v="2024-01-01T00:00:00"/>
    <x v="2"/>
    <s v="Explore the latest podcasts now."/>
    <n v="3437"/>
    <n v="129"/>
    <n v="359"/>
    <n v="44558"/>
    <n v="30854"/>
    <n v="171"/>
    <n v="8.8087436599488297E-2"/>
    <x v="7"/>
    <s v="SummerBeats"/>
  </r>
  <r>
    <s v="SP067"/>
    <x v="1"/>
    <d v="2024-04-02T00:00:00"/>
    <x v="2"/>
    <s v="Your weekend playlist is waiting."/>
    <n v="4563"/>
    <n v="488"/>
    <n v="356"/>
    <n v="30619"/>
    <n v="23328"/>
    <n v="267"/>
    <n v="0.17658969920637499"/>
    <x v="7"/>
    <s v="SummerBeats"/>
  </r>
  <r>
    <s v="SP073"/>
    <x v="1"/>
    <d v="2025-05-06T00:00:00"/>
    <x v="2"/>
    <s v="Discover fresh beats on Spotify!"/>
    <n v="1085"/>
    <n v="496"/>
    <n v="320"/>
    <n v="36528"/>
    <n v="38599"/>
    <n v="270"/>
    <n v="5.2042268944371403E-2"/>
    <x v="7"/>
    <s v="SummerBeats"/>
  </r>
  <r>
    <s v="SP079"/>
    <x v="1"/>
    <d v="2024-01-13T00:00:00"/>
    <x v="2"/>
    <s v="New music just dropped. Hit play!"/>
    <n v="4781"/>
    <n v="191"/>
    <n v="122"/>
    <n v="35535"/>
    <n v="50777"/>
    <n v="128"/>
    <n v="0.143351625158295"/>
    <x v="7"/>
    <s v="SummerBeats"/>
  </r>
  <r>
    <s v="SP092"/>
    <x v="1"/>
    <d v="2024-03-25T00:00:00"/>
    <x v="2"/>
    <s v="Explore the latest podcasts now."/>
    <n v="1948"/>
    <n v="155"/>
    <n v="315"/>
    <n v="30321"/>
    <n v="57121"/>
    <n v="82"/>
    <n v="7.9746710200850904E-2"/>
    <x v="7"/>
    <s v="SummerBeats"/>
  </r>
  <r>
    <s v="SP108"/>
    <x v="1"/>
    <d v="2024-09-07T00:00:00"/>
    <x v="2"/>
    <s v="Music that moves youâ€”only on Spotify."/>
    <n v="3882"/>
    <n v="342"/>
    <n v="374"/>
    <n v="41991"/>
    <n v="48554"/>
    <n v="118"/>
    <n v="0.109499654687909"/>
    <x v="7"/>
    <s v="SummerBeats"/>
  </r>
  <r>
    <s v="SP111"/>
    <x v="1"/>
    <d v="2024-07-20T00:00:00"/>
    <x v="2"/>
    <s v="Music that moves youâ€”only on Spotify."/>
    <n v="4955"/>
    <n v="299"/>
    <n v="345"/>
    <n v="33644"/>
    <n v="43547"/>
    <n v="194"/>
    <n v="0.16641897515158699"/>
    <x v="7"/>
    <s v="SummerBeats"/>
  </r>
  <r>
    <s v="SP141"/>
    <x v="1"/>
    <d v="2024-10-01T00:00:00"/>
    <x v="2"/>
    <s v="Explore the latest podcasts now."/>
    <n v="3543"/>
    <n v="334"/>
    <n v="218"/>
    <n v="58007"/>
    <n v="24792"/>
    <n v="273"/>
    <n v="7.0594928198320903E-2"/>
    <x v="7"/>
    <s v="SummerBeats"/>
  </r>
  <r>
    <s v="SP156"/>
    <x v="1"/>
    <d v="2024-09-03T00:00:00"/>
    <x v="2"/>
    <s v="Whatâ€™s your vibe today? #SpotifyHits"/>
    <n v="1437"/>
    <n v="494"/>
    <n v="129"/>
    <n v="53048"/>
    <n v="44090"/>
    <n v="230"/>
    <n v="3.8832755240536899E-2"/>
    <x v="7"/>
    <s v="SummerBeats"/>
  </r>
  <r>
    <s v="SP160"/>
    <x v="1"/>
    <d v="2024-02-08T00:00:00"/>
    <x v="2"/>
    <s v="Top trending tracks updated daily!"/>
    <n v="1889"/>
    <n v="298"/>
    <n v="122"/>
    <n v="46225"/>
    <n v="74305"/>
    <n v="293"/>
    <n v="4.9951325040562503E-2"/>
    <x v="7"/>
    <s v="SummerBeats"/>
  </r>
  <r>
    <s v="SP163"/>
    <x v="1"/>
    <d v="2024-08-09T00:00:00"/>
    <x v="2"/>
    <s v="From pop to podcasts, itâ€™s all here."/>
    <n v="3414"/>
    <n v="154"/>
    <n v="204"/>
    <n v="34146"/>
    <n v="44633"/>
    <n v="256"/>
    <n v="0.11046681895390401"/>
    <x v="7"/>
    <s v="SummerBeats"/>
  </r>
  <r>
    <s v="SP185"/>
    <x v="1"/>
    <d v="2025-04-22T00:00:00"/>
    <x v="2"/>
    <s v="New music just dropped. Hit play!"/>
    <n v="2733"/>
    <n v="297"/>
    <n v="235"/>
    <n v="37980"/>
    <n v="33058"/>
    <n v="219"/>
    <n v="8.5966298051606105E-2"/>
    <x v="7"/>
    <s v="SummerBeats"/>
  </r>
  <r>
    <s v="SP187"/>
    <x v="1"/>
    <d v="2025-05-18T00:00:00"/>
    <x v="2"/>
    <s v="Wrapped is here! Relive your top tracks ðŸŽ§"/>
    <n v="4210"/>
    <n v="319"/>
    <n v="350"/>
    <n v="37762"/>
    <n v="55162"/>
    <n v="204"/>
    <n v="0.12920396165457301"/>
    <x v="7"/>
    <s v="SummerBeats"/>
  </r>
  <r>
    <s v="SP189"/>
    <x v="1"/>
    <d v="2025-02-20T00:00:00"/>
    <x v="2"/>
    <s v="Get into the groove with our new drop!"/>
    <n v="4957"/>
    <n v="262"/>
    <n v="365"/>
    <n v="49199"/>
    <n v="40314"/>
    <n v="216"/>
    <n v="0.113498241834184"/>
    <x v="7"/>
    <s v="SummerBeats"/>
  </r>
  <r>
    <s v="SP191"/>
    <x v="1"/>
    <d v="2024-02-24T00:00:00"/>
    <x v="2"/>
    <s v="Discover fresh beats on Spotify!"/>
    <n v="4221"/>
    <n v="307"/>
    <n v="58"/>
    <n v="45080"/>
    <n v="37214"/>
    <n v="240"/>
    <n v="0.101730257320319"/>
    <x v="7"/>
    <s v="SummerBeats"/>
  </r>
  <r>
    <s v="SP193"/>
    <x v="1"/>
    <d v="2024-06-04T00:00:00"/>
    <x v="2"/>
    <s v="Wrapped is here! Relive your top tracks ðŸŽ§"/>
    <n v="1211"/>
    <n v="431"/>
    <n v="83"/>
    <n v="26532"/>
    <n v="47305"/>
    <n v="232"/>
    <n v="6.5015829941203099E-2"/>
    <x v="7"/>
    <s v="SummerBeats"/>
  </r>
  <r>
    <s v="SP228"/>
    <x v="1"/>
    <d v="2024-05-30T00:00:00"/>
    <x v="2"/>
    <s v="Whatâ€™s your vibe today? #SpotifyHits"/>
    <n v="1060"/>
    <n v="442"/>
    <n v="319"/>
    <n v="57194"/>
    <n v="24258"/>
    <n v="101"/>
    <n v="3.1839004091338302E-2"/>
    <x v="7"/>
    <s v="SummerBeats"/>
  </r>
  <r>
    <s v="SP248"/>
    <x v="1"/>
    <d v="2024-06-14T00:00:00"/>
    <x v="2"/>
    <s v="Wrapped is here! Relive your top tracks ðŸŽ§"/>
    <n v="4722"/>
    <n v="310"/>
    <n v="344"/>
    <n v="27911"/>
    <n v="19000"/>
    <n v="225"/>
    <n v="0.19261223173659101"/>
    <x v="7"/>
    <s v="SummerBeats"/>
  </r>
  <r>
    <s v="SP258"/>
    <x v="1"/>
    <d v="2025-03-20T00:00:00"/>
    <x v="2"/>
    <s v="From pop to podcasts, itâ€™s all here."/>
    <n v="1453"/>
    <n v="156"/>
    <n v="178"/>
    <n v="52980"/>
    <n v="57180"/>
    <n v="286"/>
    <n v="3.3729709324273299E-2"/>
    <x v="7"/>
    <s v="SummerBeats"/>
  </r>
  <r>
    <s v="SP264"/>
    <x v="1"/>
    <d v="2025-05-31T00:00:00"/>
    <x v="2"/>
    <s v="Get into the groove with our new drop!"/>
    <n v="2162"/>
    <n v="318"/>
    <n v="83"/>
    <n v="46719"/>
    <n v="20482"/>
    <n v="185"/>
    <n v="5.4859907104176001E-2"/>
    <x v="7"/>
    <s v="SummerBeats"/>
  </r>
  <r>
    <s v="SP268"/>
    <x v="1"/>
    <d v="2024-03-17T00:00:00"/>
    <x v="2"/>
    <s v="Explore the latest podcasts now."/>
    <n v="2692"/>
    <n v="446"/>
    <n v="216"/>
    <n v="45818"/>
    <n v="62723"/>
    <n v="85"/>
    <n v="7.3202671439172404E-2"/>
    <x v="7"/>
    <s v="SummerBeats"/>
  </r>
  <r>
    <s v="SP269"/>
    <x v="1"/>
    <d v="2024-06-21T00:00:00"/>
    <x v="2"/>
    <s v="Music that moves youâ€”only on Spotify."/>
    <n v="4621"/>
    <n v="374"/>
    <n v="298"/>
    <n v="56979"/>
    <n v="24098"/>
    <n v="205"/>
    <n v="9.2893873181347494E-2"/>
    <x v="7"/>
    <s v="SummerBeats"/>
  </r>
  <r>
    <s v="SP293"/>
    <x v="1"/>
    <d v="2025-04-18T00:00:00"/>
    <x v="2"/>
    <s v="Your weekend playlist is waiting."/>
    <n v="1265"/>
    <n v="230"/>
    <n v="364"/>
    <n v="41312"/>
    <n v="50382"/>
    <n v="106"/>
    <n v="4.4999031758326903E-2"/>
    <x v="7"/>
    <s v="SummerBeats"/>
  </r>
  <r>
    <m/>
    <x v="3"/>
    <m/>
    <x v="3"/>
    <m/>
    <m/>
    <m/>
    <m/>
    <m/>
    <m/>
    <m/>
    <m/>
    <x v="8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s v="Instagram"/>
    <n v="1402"/>
    <n v="68"/>
    <n v="124562"/>
    <n v="2537"/>
    <n v="0.1097081081081081"/>
    <n v="1334"/>
    <n v="9.92"/>
    <n v="23125"/>
  </r>
  <r>
    <x v="0"/>
    <s v="Twitter"/>
    <n v="995"/>
    <n v="86"/>
    <n v="227958"/>
    <n v="3208"/>
    <n v="0.14077584693698439"/>
    <n v="909"/>
    <n v="8.0500000000000007"/>
    <n v="22788"/>
  </r>
  <r>
    <x v="0"/>
    <s v="YouTube"/>
    <n v="1472"/>
    <n v="296"/>
    <n v="370242"/>
    <n v="4396"/>
    <n v="0.5628681177976953"/>
    <n v="1176"/>
    <n v="7.72"/>
    <n v="7810"/>
  </r>
  <r>
    <x v="1"/>
    <s v="Instagram"/>
    <n v="1018"/>
    <n v="90"/>
    <n v="92474"/>
    <n v="2647"/>
    <n v="0.22121009526993146"/>
    <n v="928"/>
    <n v="9.4"/>
    <n v="11966"/>
  </r>
  <r>
    <x v="1"/>
    <s v="Twitter"/>
    <n v="1461"/>
    <n v="64"/>
    <n v="328902"/>
    <n v="4472"/>
    <n v="0.17005095444520496"/>
    <n v="1397"/>
    <n v="9.02"/>
    <n v="26298"/>
  </r>
  <r>
    <x v="1"/>
    <s v="YouTube"/>
    <n v="545"/>
    <n v="93"/>
    <n v="391621"/>
    <n v="3166"/>
    <n v="0.14371964228970902"/>
    <n v="452"/>
    <n v="9.9600000000000009"/>
    <n v="22029"/>
  </r>
  <r>
    <x v="2"/>
    <s v="Instagram"/>
    <n v="881"/>
    <n v="291"/>
    <n v="95885"/>
    <n v="2739"/>
    <n v="0.22104753450084738"/>
    <n v="590"/>
    <n v="5.29"/>
    <n v="12391"/>
  </r>
  <r>
    <x v="2"/>
    <s v="Twitter"/>
    <n v="1414"/>
    <n v="131"/>
    <n v="245947"/>
    <n v="2051"/>
    <n v="0.14167299854942322"/>
    <n v="1283"/>
    <n v="8.3000000000000007"/>
    <n v="14477"/>
  </r>
  <r>
    <x v="2"/>
    <s v="YouTube"/>
    <n v="1472"/>
    <n v="170"/>
    <n v="250428"/>
    <n v="2059"/>
    <n v="8.2228434504792336E-2"/>
    <n v="1302"/>
    <n v="4.66"/>
    <n v="25040"/>
  </r>
  <r>
    <x v="3"/>
    <s v="Instagram"/>
    <n v="809"/>
    <n v="197"/>
    <n v="87186"/>
    <n v="4198"/>
    <n v="0.18559618020248464"/>
    <n v="612"/>
    <n v="9.48"/>
    <n v="22619"/>
  </r>
  <r>
    <x v="3"/>
    <s v="Twitter"/>
    <n v="1371"/>
    <n v="250"/>
    <n v="128620"/>
    <n v="3503"/>
    <n v="0.28252278409549159"/>
    <n v="1121"/>
    <n v="7.11"/>
    <n v="12399"/>
  </r>
  <r>
    <x v="3"/>
    <s v="YouTube"/>
    <n v="844"/>
    <n v="144"/>
    <n v="126015"/>
    <n v="5523"/>
    <n v="0.24594763092269326"/>
    <n v="700"/>
    <n v="9.65"/>
    <n v="22456"/>
  </r>
  <r>
    <x v="4"/>
    <s v="Instagram"/>
    <n v="786"/>
    <n v="72"/>
    <n v="178615"/>
    <n v="3311"/>
    <n v="0.1713058774834437"/>
    <n v="714"/>
    <n v="5.43"/>
    <n v="19328"/>
  </r>
  <r>
    <x v="4"/>
    <s v="Twitter"/>
    <n v="845"/>
    <n v="250"/>
    <n v="218228"/>
    <n v="3460"/>
    <n v="0.16392665940209408"/>
    <n v="595"/>
    <n v="4.5199999999999996"/>
    <n v="21107"/>
  </r>
  <r>
    <x v="4"/>
    <s v="YouTube"/>
    <n v="1218"/>
    <n v="101"/>
    <n v="300397"/>
    <n v="1341"/>
    <n v="0.10922863891830252"/>
    <n v="1117"/>
    <n v="4.33"/>
    <n v="12277"/>
  </r>
  <r>
    <x v="5"/>
    <s v="Instagram"/>
    <n v="797"/>
    <n v="130"/>
    <n v="340121"/>
    <n v="5062"/>
    <n v="0.43324204039712427"/>
    <n v="667"/>
    <n v="8.52"/>
    <n v="11684"/>
  </r>
  <r>
    <x v="5"/>
    <s v="Twitter"/>
    <n v="1471"/>
    <n v="100"/>
    <n v="76866"/>
    <n v="1356"/>
    <n v="9.4088259783513734E-2"/>
    <n v="1371"/>
    <n v="8.5500000000000007"/>
    <n v="14412"/>
  </r>
  <r>
    <x v="5"/>
    <s v="YouTube"/>
    <n v="1253"/>
    <n v="136"/>
    <n v="193131"/>
    <n v="1925"/>
    <n v="0.12088671188143682"/>
    <n v="1117"/>
    <n v="7.99"/>
    <n v="15924"/>
  </r>
  <r>
    <x v="6"/>
    <s v="Instagram"/>
    <n v="616"/>
    <n v="257"/>
    <n v="169665"/>
    <n v="3811"/>
    <n v="0.30758676351896691"/>
    <n v="359"/>
    <n v="6.31"/>
    <n v="12390"/>
  </r>
  <r>
    <x v="6"/>
    <s v="Twitter"/>
    <n v="1308"/>
    <n v="210"/>
    <n v="263729"/>
    <n v="4648"/>
    <n v="0.18056095097506022"/>
    <n v="1098"/>
    <n v="8.5299999999999994"/>
    <n v="25742"/>
  </r>
  <r>
    <x v="6"/>
    <s v="YouTube"/>
    <n v="981"/>
    <n v="69"/>
    <n v="206921"/>
    <n v="1661"/>
    <n v="0.15826584087660792"/>
    <n v="912"/>
    <n v="8.42"/>
    <n v="10495"/>
  </r>
  <r>
    <x v="7"/>
    <s v="Instagram"/>
    <n v="866"/>
    <n v="74"/>
    <n v="204121"/>
    <n v="2943"/>
    <n v="0.37745286648711041"/>
    <n v="792"/>
    <n v="9.34"/>
    <n v="7797"/>
  </r>
  <r>
    <x v="7"/>
    <s v="Twitter"/>
    <n v="547"/>
    <n v="183"/>
    <n v="266350"/>
    <n v="4996"/>
    <n v="0.32035908945174735"/>
    <n v="364"/>
    <n v="5.65"/>
    <n v="15595"/>
  </r>
  <r>
    <x v="7"/>
    <s v="YouTube"/>
    <n v="1241"/>
    <n v="116"/>
    <n v="380606"/>
    <n v="2589"/>
    <n v="0.10517122313848154"/>
    <n v="1125"/>
    <n v="4.2"/>
    <n v="24617"/>
  </r>
  <r>
    <x v="8"/>
    <s v="Instagram"/>
    <n v="973"/>
    <n v="104"/>
    <n v="376358"/>
    <n v="1622"/>
    <n v="0.16472021935614908"/>
    <n v="869"/>
    <n v="3.87"/>
    <n v="9847"/>
  </r>
  <r>
    <x v="8"/>
    <s v="Twitter"/>
    <n v="611"/>
    <n v="197"/>
    <n v="79423"/>
    <n v="1641"/>
    <n v="0.1202726473175022"/>
    <n v="414"/>
    <n v="5.82"/>
    <n v="13644"/>
  </r>
  <r>
    <x v="8"/>
    <s v="YouTube"/>
    <n v="983"/>
    <n v="134"/>
    <n v="352178"/>
    <n v="4406"/>
    <n v="0.38578057963400753"/>
    <n v="849"/>
    <n v="3.55"/>
    <n v="11421"/>
  </r>
  <r>
    <x v="9"/>
    <s v="Instagram"/>
    <n v="1449"/>
    <n v="96"/>
    <n v="200636"/>
    <n v="3637"/>
    <n v="0.23294690322167425"/>
    <n v="1353"/>
    <n v="9.92"/>
    <n v="15613"/>
  </r>
  <r>
    <x v="9"/>
    <s v="Twitter"/>
    <n v="752"/>
    <n v="170"/>
    <n v="132756"/>
    <n v="4577"/>
    <n v="0.19150627615062762"/>
    <n v="582"/>
    <n v="8.17"/>
    <n v="23900"/>
  </r>
  <r>
    <x v="9"/>
    <s v="YouTube"/>
    <n v="937"/>
    <n v="179"/>
    <n v="318098"/>
    <n v="4072"/>
    <n v="0.69773817683344752"/>
    <n v="758"/>
    <n v="5.3"/>
    <n v="5836"/>
  </r>
  <r>
    <x v="10"/>
    <s v="Instagram"/>
    <n v="1060"/>
    <n v="83"/>
    <n v="68724"/>
    <n v="4997"/>
    <n v="0.88851351351351349"/>
    <n v="977"/>
    <n v="5.98"/>
    <n v="5624"/>
  </r>
  <r>
    <x v="10"/>
    <s v="Twitter"/>
    <n v="1456"/>
    <n v="265"/>
    <n v="115505"/>
    <n v="2532"/>
    <n v="0.24556299098050627"/>
    <n v="1191"/>
    <n v="7.49"/>
    <n v="10311"/>
  </r>
  <r>
    <x v="10"/>
    <s v="YouTube"/>
    <n v="1109"/>
    <n v="205"/>
    <n v="276722"/>
    <n v="3472"/>
    <n v="0.41962774957698817"/>
    <n v="904"/>
    <n v="9.3800000000000008"/>
    <n v="8274"/>
  </r>
  <r>
    <x v="11"/>
    <s v="Instagram"/>
    <n v="1002"/>
    <n v="93"/>
    <n v="353538"/>
    <n v="1858"/>
    <n v="0.30807494611175595"/>
    <n v="909"/>
    <n v="5.84"/>
    <n v="6031"/>
  </r>
  <r>
    <x v="11"/>
    <s v="Twitter"/>
    <n v="571"/>
    <n v="189"/>
    <n v="61445"/>
    <n v="1684"/>
    <n v="6.0512415106543531E-2"/>
    <n v="382"/>
    <n v="5.41"/>
    <n v="27829"/>
  </r>
  <r>
    <x v="11"/>
    <s v="YouTube"/>
    <n v="1240"/>
    <n v="231"/>
    <n v="165035"/>
    <n v="2297"/>
    <n v="0.12574588054962502"/>
    <n v="1009"/>
    <n v="6.05"/>
    <n v="18267"/>
  </r>
  <r>
    <x v="12"/>
    <s v="Instagram"/>
    <n v="1154"/>
    <n v="132"/>
    <n v="194595"/>
    <n v="2456"/>
    <n v="9.2247596153846159E-2"/>
    <n v="1022"/>
    <n v="7.54"/>
    <n v="26624"/>
  </r>
  <r>
    <x v="12"/>
    <s v="Twitter"/>
    <n v="537"/>
    <n v="275"/>
    <n v="236238"/>
    <n v="4910"/>
    <n v="0.18428163939348446"/>
    <n v="262"/>
    <n v="5.87"/>
    <n v="26644"/>
  </r>
  <r>
    <x v="12"/>
    <s v="YouTube"/>
    <n v="1456"/>
    <n v="290"/>
    <n v="271044"/>
    <n v="3331"/>
    <n v="0.25522948433070264"/>
    <n v="1166"/>
    <n v="7.17"/>
    <n v="13051"/>
  </r>
  <r>
    <x v="13"/>
    <s v="Instagram"/>
    <n v="721"/>
    <n v="206"/>
    <n v="334887"/>
    <n v="4636"/>
    <n v="0.32608848561581205"/>
    <n v="515"/>
    <n v="6.05"/>
    <n v="14217"/>
  </r>
  <r>
    <x v="13"/>
    <s v="Twitter"/>
    <n v="1098"/>
    <n v="142"/>
    <n v="359150"/>
    <n v="3429"/>
    <n v="0.20927677754043333"/>
    <n v="956"/>
    <n v="7.51"/>
    <n v="16385"/>
  </r>
  <r>
    <x v="13"/>
    <s v="YouTube"/>
    <n v="1096"/>
    <n v="65"/>
    <n v="358295"/>
    <n v="3091"/>
    <n v="0.1259165716147955"/>
    <n v="1031"/>
    <n v="7.66"/>
    <n v="24548"/>
  </r>
  <r>
    <x v="14"/>
    <s v="Instagram"/>
    <n v="912"/>
    <n v="275"/>
    <n v="368454"/>
    <n v="4772"/>
    <n v="0.51897770527460574"/>
    <n v="637"/>
    <n v="6.03"/>
    <n v="9195"/>
  </r>
  <r>
    <x v="14"/>
    <s v="Twitter"/>
    <n v="1430"/>
    <n v="162"/>
    <n v="269082"/>
    <n v="3544"/>
    <n v="0.19611532289303304"/>
    <n v="1268"/>
    <n v="3.4"/>
    <n v="18071"/>
  </r>
  <r>
    <x v="14"/>
    <s v="YouTube"/>
    <n v="854"/>
    <n v="129"/>
    <n v="310903"/>
    <n v="4911"/>
    <n v="0.29102222222222224"/>
    <n v="725"/>
    <n v="7.83"/>
    <n v="16875"/>
  </r>
  <r>
    <x v="15"/>
    <s v="Instagram"/>
    <n v="681"/>
    <n v="210"/>
    <n v="248581"/>
    <n v="4810"/>
    <n v="0.50276993832967487"/>
    <n v="471"/>
    <n v="8.76"/>
    <n v="9567"/>
  </r>
  <r>
    <x v="15"/>
    <s v="Twitter"/>
    <n v="1373"/>
    <n v="82"/>
    <n v="371015"/>
    <n v="4410"/>
    <n v="0.21717718900817493"/>
    <n v="1291"/>
    <n v="9.52"/>
    <n v="20306"/>
  </r>
  <r>
    <x v="15"/>
    <s v="YouTube"/>
    <n v="685"/>
    <n v="285"/>
    <n v="177452"/>
    <n v="5018"/>
    <n v="0.23743730481688274"/>
    <n v="400"/>
    <n v="3.36"/>
    <n v="21134"/>
  </r>
  <r>
    <x v="16"/>
    <s v="Instagram"/>
    <n v="1290"/>
    <n v="177"/>
    <n v="80745"/>
    <n v="4407"/>
    <n v="0.16399970229234892"/>
    <n v="1113"/>
    <n v="9.2200000000000006"/>
    <n v="26872"/>
  </r>
  <r>
    <x v="16"/>
    <s v="Twitter"/>
    <n v="1437"/>
    <n v="239"/>
    <n v="362441"/>
    <n v="4348"/>
    <n v="0.42407100360869987"/>
    <n v="1198"/>
    <n v="5.57"/>
    <n v="10253"/>
  </r>
  <r>
    <x v="16"/>
    <s v="YouTube"/>
    <n v="769"/>
    <n v="295"/>
    <n v="344771"/>
    <n v="5431"/>
    <n v="0.22664107165213038"/>
    <n v="474"/>
    <n v="8.06"/>
    <n v="23963"/>
  </r>
  <r>
    <x v="17"/>
    <s v="Instagram"/>
    <n v="1416"/>
    <n v="284"/>
    <n v="374952"/>
    <n v="5614"/>
    <n v="0.49528010586678428"/>
    <n v="1132"/>
    <n v="3.45"/>
    <n v="11335"/>
  </r>
  <r>
    <x v="17"/>
    <s v="Twitter"/>
    <n v="998"/>
    <n v="154"/>
    <n v="179781"/>
    <n v="2818"/>
    <n v="0.23260420965744943"/>
    <n v="844"/>
    <n v="9.58"/>
    <n v="12115"/>
  </r>
  <r>
    <x v="17"/>
    <s v="YouTube"/>
    <n v="1421"/>
    <n v="246"/>
    <n v="358581"/>
    <n v="2562"/>
    <n v="0.10518104934723704"/>
    <n v="1175"/>
    <n v="8.8800000000000008"/>
    <n v="24358"/>
  </r>
  <r>
    <x v="18"/>
    <s v="Instagram"/>
    <n v="764"/>
    <n v="205"/>
    <n v="319294"/>
    <n v="3687"/>
    <n v="0.30268450866102947"/>
    <n v="559"/>
    <n v="6.23"/>
    <n v="12181"/>
  </r>
  <r>
    <x v="18"/>
    <s v="Twitter"/>
    <n v="678"/>
    <n v="124"/>
    <n v="192022"/>
    <n v="4432"/>
    <n v="0.24998589880985955"/>
    <n v="554"/>
    <n v="8.4499999999999993"/>
    <n v="17729"/>
  </r>
  <r>
    <x v="18"/>
    <s v="YouTube"/>
    <n v="1328"/>
    <n v="103"/>
    <n v="151462"/>
    <n v="4313"/>
    <n v="0.39637900928223507"/>
    <n v="1225"/>
    <n v="8.4"/>
    <n v="10881"/>
  </r>
  <r>
    <x v="19"/>
    <s v="Instagram"/>
    <n v="1161"/>
    <n v="269"/>
    <n v="188193"/>
    <n v="2132"/>
    <n v="0.11477174849267872"/>
    <n v="892"/>
    <n v="7.34"/>
    <n v="18576"/>
  </r>
  <r>
    <x v="19"/>
    <s v="Twitter"/>
    <n v="588"/>
    <n v="52"/>
    <n v="292040"/>
    <n v="2561"/>
    <n v="0.27294042417137376"/>
    <n v="536"/>
    <n v="8.14"/>
    <n v="9383"/>
  </r>
  <r>
    <x v="19"/>
    <s v="YouTube"/>
    <n v="1457"/>
    <n v="215"/>
    <n v="325325"/>
    <n v="4227"/>
    <n v="0.29813796022005923"/>
    <n v="1242"/>
    <n v="9.58"/>
    <n v="14178"/>
  </r>
  <r>
    <x v="20"/>
    <s v="Instagram"/>
    <n v="1190"/>
    <n v="242"/>
    <n v="86849"/>
    <n v="2132"/>
    <n v="0.10031052978262915"/>
    <n v="948"/>
    <n v="8.06"/>
    <n v="21254"/>
  </r>
  <r>
    <x v="20"/>
    <s v="Twitter"/>
    <n v="886"/>
    <n v="124"/>
    <n v="141161"/>
    <n v="2899"/>
    <n v="0.20393950052761167"/>
    <n v="762"/>
    <n v="8.19"/>
    <n v="14215"/>
  </r>
  <r>
    <x v="20"/>
    <s v="YouTube"/>
    <n v="1237"/>
    <n v="155"/>
    <n v="149916"/>
    <n v="3105"/>
    <n v="0.18349979315643283"/>
    <n v="1082"/>
    <n v="4.4800000000000004"/>
    <n v="16921"/>
  </r>
  <r>
    <x v="21"/>
    <s v="Instagram"/>
    <n v="1435"/>
    <n v="261"/>
    <n v="308533"/>
    <n v="2150"/>
    <n v="8.5555113410266614E-2"/>
    <n v="1174"/>
    <n v="4.5199999999999996"/>
    <n v="25130"/>
  </r>
  <r>
    <x v="21"/>
    <s v="Twitter"/>
    <n v="746"/>
    <n v="282"/>
    <n v="293894"/>
    <n v="2354"/>
    <n v="9.2179974155147434E-2"/>
    <n v="464"/>
    <n v="5.42"/>
    <n v="25537"/>
  </r>
  <r>
    <x v="21"/>
    <s v="YouTube"/>
    <n v="759"/>
    <n v="216"/>
    <n v="147656"/>
    <n v="3084"/>
    <n v="0.12364190354007136"/>
    <n v="543"/>
    <n v="4.08"/>
    <n v="24943"/>
  </r>
  <r>
    <x v="22"/>
    <s v="Instagram"/>
    <n v="1437"/>
    <n v="235"/>
    <n v="326791"/>
    <n v="1591"/>
    <n v="0.10924946782943075"/>
    <n v="1202"/>
    <n v="4.0599999999999996"/>
    <n v="14563"/>
  </r>
  <r>
    <x v="22"/>
    <s v="Twitter"/>
    <n v="1463"/>
    <n v="73"/>
    <n v="348877"/>
    <n v="2136"/>
    <n v="8.1300194115632024E-2"/>
    <n v="1390"/>
    <n v="9.91"/>
    <n v="26273"/>
  </r>
  <r>
    <x v="22"/>
    <s v="YouTube"/>
    <n v="1208"/>
    <n v="224"/>
    <n v="122730"/>
    <n v="4585"/>
    <n v="0.42226929452937928"/>
    <n v="984"/>
    <n v="8.7200000000000006"/>
    <n v="10858"/>
  </r>
  <r>
    <x v="23"/>
    <s v="Instagram"/>
    <n v="1391"/>
    <n v="187"/>
    <n v="306508"/>
    <n v="5228"/>
    <n v="0.2088026200175733"/>
    <n v="1204"/>
    <n v="8.3800000000000008"/>
    <n v="25038"/>
  </r>
  <r>
    <x v="23"/>
    <s v="Twitter"/>
    <n v="655"/>
    <n v="123"/>
    <n v="202472"/>
    <n v="2358"/>
    <n v="0.25934887813462387"/>
    <n v="532"/>
    <n v="7.56"/>
    <n v="9092"/>
  </r>
  <r>
    <x v="23"/>
    <s v="YouTube"/>
    <n v="1148"/>
    <n v="90"/>
    <n v="227249"/>
    <n v="4900"/>
    <n v="0.27743177443098177"/>
    <n v="1058"/>
    <n v="7.24"/>
    <n v="17662"/>
  </r>
  <r>
    <x v="24"/>
    <s v="Instagram"/>
    <n v="946"/>
    <n v="270"/>
    <n v="246567"/>
    <n v="2702"/>
    <n v="0.45611073598919649"/>
    <n v="676"/>
    <n v="4.53"/>
    <n v="5924"/>
  </r>
  <r>
    <x v="24"/>
    <s v="Twitter"/>
    <n v="791"/>
    <n v="214"/>
    <n v="114738"/>
    <n v="2960"/>
    <n v="0.11677910600860063"/>
    <n v="577"/>
    <n v="6.62"/>
    <n v="25347"/>
  </r>
  <r>
    <x v="24"/>
    <s v="YouTube"/>
    <n v="793"/>
    <n v="111"/>
    <n v="333500"/>
    <n v="5126"/>
    <n v="0.57530864197530862"/>
    <n v="682"/>
    <n v="6.36"/>
    <n v="8910"/>
  </r>
  <r>
    <x v="25"/>
    <s v="Instagram"/>
    <n v="663"/>
    <n v="213"/>
    <n v="352677"/>
    <n v="5521"/>
    <n v="0.27013406399843432"/>
    <n v="450"/>
    <n v="9"/>
    <n v="20438"/>
  </r>
  <r>
    <x v="25"/>
    <s v="Twitter"/>
    <n v="954"/>
    <n v="271"/>
    <n v="160936"/>
    <n v="4972"/>
    <n v="0.56757990867579911"/>
    <n v="683"/>
    <n v="8.83"/>
    <n v="8760"/>
  </r>
  <r>
    <x v="25"/>
    <s v="YouTube"/>
    <n v="1313"/>
    <n v="159"/>
    <n v="197183"/>
    <n v="3899"/>
    <n v="0.5885283018867925"/>
    <n v="1154"/>
    <n v="9.7100000000000009"/>
    <n v="6625"/>
  </r>
  <r>
    <x v="26"/>
    <s v="Instagram"/>
    <n v="895"/>
    <n v="87"/>
    <n v="171271"/>
    <n v="2559"/>
    <n v="0.10969179990569677"/>
    <n v="808"/>
    <n v="6.68"/>
    <n v="23329"/>
  </r>
  <r>
    <x v="26"/>
    <s v="Twitter"/>
    <n v="1027"/>
    <n v="156"/>
    <n v="111293"/>
    <n v="4942"/>
    <n v="0.67707905192492124"/>
    <n v="871"/>
    <n v="5.51"/>
    <n v="7299"/>
  </r>
  <r>
    <x v="26"/>
    <s v="YouTube"/>
    <n v="990"/>
    <n v="286"/>
    <n v="351493"/>
    <n v="2481"/>
    <n v="0.17115066225165562"/>
    <n v="704"/>
    <n v="7.97"/>
    <n v="14496"/>
  </r>
  <r>
    <x v="27"/>
    <s v="Instagram"/>
    <n v="875"/>
    <n v="264"/>
    <n v="345631"/>
    <n v="3543"/>
    <n v="0.13784383145936271"/>
    <n v="611"/>
    <n v="9.18"/>
    <n v="25703"/>
  </r>
  <r>
    <x v="27"/>
    <s v="Twitter"/>
    <n v="599"/>
    <n v="194"/>
    <n v="105622"/>
    <n v="2811"/>
    <n v="0.18606036536934076"/>
    <n v="405"/>
    <n v="6.44"/>
    <n v="15108"/>
  </r>
  <r>
    <x v="27"/>
    <s v="YouTube"/>
    <n v="630"/>
    <n v="248"/>
    <n v="119054"/>
    <n v="2957"/>
    <n v="0.15672867970530557"/>
    <n v="382"/>
    <n v="5.0199999999999996"/>
    <n v="18867"/>
  </r>
  <r>
    <x v="28"/>
    <s v="Instagram"/>
    <n v="1350"/>
    <n v="233"/>
    <n v="171670"/>
    <n v="2952"/>
    <n v="0.16797541823147832"/>
    <n v="1117"/>
    <n v="4.53"/>
    <n v="17574"/>
  </r>
  <r>
    <x v="28"/>
    <s v="Twitter"/>
    <n v="632"/>
    <n v="155"/>
    <n v="170432"/>
    <n v="2730"/>
    <n v="0.21261682242990654"/>
    <n v="477"/>
    <n v="9.17"/>
    <n v="12840"/>
  </r>
  <r>
    <x v="28"/>
    <s v="YouTube"/>
    <n v="1182"/>
    <n v="83"/>
    <n v="140300"/>
    <n v="5510"/>
    <n v="0.26139759950661795"/>
    <n v="1099"/>
    <n v="3.27"/>
    <n v="21079"/>
  </r>
  <r>
    <x v="29"/>
    <s v="Instagram"/>
    <n v="661"/>
    <n v="94"/>
    <n v="116538"/>
    <n v="4836"/>
    <n v="0.20590990377246018"/>
    <n v="567"/>
    <n v="5.31"/>
    <n v="23486"/>
  </r>
  <r>
    <x v="29"/>
    <s v="Twitter"/>
    <n v="1360"/>
    <n v="227"/>
    <n v="176902"/>
    <n v="1948"/>
    <n v="0.32684563758389262"/>
    <n v="1133"/>
    <n v="6.03"/>
    <n v="5960"/>
  </r>
  <r>
    <x v="29"/>
    <s v="YouTube"/>
    <n v="935"/>
    <n v="85"/>
    <n v="326821"/>
    <n v="3883"/>
    <n v="0.29193293737312986"/>
    <n v="850"/>
    <n v="8.89"/>
    <n v="13301"/>
  </r>
  <r>
    <x v="30"/>
    <s v="Instagram"/>
    <n v="664"/>
    <n v="251"/>
    <n v="240598"/>
    <n v="2580"/>
    <n v="0.24424879295654645"/>
    <n v="413"/>
    <n v="4.79"/>
    <n v="10563"/>
  </r>
  <r>
    <x v="30"/>
    <s v="Twitter"/>
    <n v="1490"/>
    <n v="103"/>
    <n v="373274"/>
    <n v="3746"/>
    <n v="0.18777883603188131"/>
    <n v="1387"/>
    <n v="4.8"/>
    <n v="19949"/>
  </r>
  <r>
    <x v="30"/>
    <s v="YouTube"/>
    <n v="601"/>
    <n v="64"/>
    <n v="123272"/>
    <n v="1884"/>
    <n v="0.13199747775520213"/>
    <n v="537"/>
    <n v="4.07"/>
    <n v="14273"/>
  </r>
  <r>
    <x v="31"/>
    <s v="Instagram"/>
    <n v="613"/>
    <n v="170"/>
    <n v="139266"/>
    <n v="3095"/>
    <n v="0.33470314696658376"/>
    <n v="443"/>
    <n v="6.06"/>
    <n v="9247"/>
  </r>
  <r>
    <x v="31"/>
    <s v="Twitter"/>
    <n v="1340"/>
    <n v="57"/>
    <n v="155927"/>
    <n v="2796"/>
    <n v="0.23354493818910793"/>
    <n v="1283"/>
    <n v="7.79"/>
    <n v="11972"/>
  </r>
  <r>
    <x v="31"/>
    <s v="YouTube"/>
    <n v="953"/>
    <n v="228"/>
    <n v="258398"/>
    <n v="3599"/>
    <n v="0.27031695959140756"/>
    <n v="725"/>
    <n v="9.0500000000000007"/>
    <n v="13314"/>
  </r>
  <r>
    <x v="32"/>
    <s v="Instagram"/>
    <n v="532"/>
    <n v="65"/>
    <n v="338561"/>
    <n v="4954"/>
    <n v="0.33588717879178248"/>
    <n v="467"/>
    <n v="3.5"/>
    <n v="14749"/>
  </r>
  <r>
    <x v="32"/>
    <s v="Twitter"/>
    <n v="1414"/>
    <n v="60"/>
    <n v="341856"/>
    <n v="2803"/>
    <n v="0.40812463599301108"/>
    <n v="1354"/>
    <n v="8.76"/>
    <n v="6868"/>
  </r>
  <r>
    <x v="32"/>
    <s v="YouTube"/>
    <n v="685"/>
    <n v="165"/>
    <n v="175860"/>
    <n v="2082"/>
    <n v="0.34544549527127927"/>
    <n v="520"/>
    <n v="6.26"/>
    <n v="6027"/>
  </r>
  <r>
    <x v="33"/>
    <s v="Instagram"/>
    <n v="601"/>
    <n v="159"/>
    <n v="327722"/>
    <n v="3122"/>
    <n v="0.1235603751929394"/>
    <n v="442"/>
    <n v="3.33"/>
    <n v="25267"/>
  </r>
  <r>
    <x v="33"/>
    <s v="Twitter"/>
    <n v="841"/>
    <n v="295"/>
    <n v="271638"/>
    <n v="4227"/>
    <n v="0.71644067796610167"/>
    <n v="546"/>
    <n v="9.15"/>
    <n v="5900"/>
  </r>
  <r>
    <x v="33"/>
    <s v="YouTube"/>
    <n v="1105"/>
    <n v="261"/>
    <n v="333851"/>
    <n v="1953"/>
    <n v="0.17467131741346928"/>
    <n v="844"/>
    <n v="6.03"/>
    <n v="11181"/>
  </r>
  <r>
    <x v="34"/>
    <s v="Instagram"/>
    <n v="566"/>
    <n v="225"/>
    <n v="368984"/>
    <n v="5595"/>
    <n v="0.5832985821517932"/>
    <n v="341"/>
    <n v="9.82"/>
    <n v="9592"/>
  </r>
  <r>
    <x v="34"/>
    <s v="Twitter"/>
    <n v="1149"/>
    <n v="280"/>
    <n v="167310"/>
    <n v="3523"/>
    <n v="0.66584766584766586"/>
    <n v="869"/>
    <n v="3.7"/>
    <n v="5291"/>
  </r>
  <r>
    <x v="34"/>
    <s v="YouTube"/>
    <n v="819"/>
    <n v="101"/>
    <n v="194811"/>
    <n v="2773"/>
    <n v="0.12466283042618234"/>
    <n v="718"/>
    <n v="3.35"/>
    <n v="22244"/>
  </r>
  <r>
    <x v="35"/>
    <s v="Instagram"/>
    <n v="795"/>
    <n v="60"/>
    <n v="314982"/>
    <n v="4530"/>
    <n v="0.66383352872215706"/>
    <n v="735"/>
    <n v="7.31"/>
    <n v="6824"/>
  </r>
  <r>
    <x v="35"/>
    <s v="Twitter"/>
    <n v="681"/>
    <n v="158"/>
    <n v="75960"/>
    <n v="1689"/>
    <n v="7.0048108825481084E-2"/>
    <n v="523"/>
    <n v="3.13"/>
    <n v="24112"/>
  </r>
  <r>
    <x v="35"/>
    <s v="YouTube"/>
    <n v="534"/>
    <n v="112"/>
    <n v="360759"/>
    <n v="3969"/>
    <n v="0.15578145851322711"/>
    <n v="422"/>
    <n v="4.8899999999999997"/>
    <n v="25478"/>
  </r>
  <r>
    <x v="36"/>
    <s v="Instagram"/>
    <n v="1066"/>
    <n v="151"/>
    <n v="297090"/>
    <n v="4483"/>
    <n v="0.39902091677792612"/>
    <n v="915"/>
    <n v="8.6300000000000008"/>
    <n v="11235"/>
  </r>
  <r>
    <x v="36"/>
    <s v="Twitter"/>
    <n v="1270"/>
    <n v="162"/>
    <n v="92040"/>
    <n v="5728"/>
    <n v="0.93594771241830066"/>
    <n v="1108"/>
    <n v="8.0299999999999994"/>
    <n v="6120"/>
  </r>
  <r>
    <x v="36"/>
    <s v="YouTube"/>
    <n v="536"/>
    <n v="198"/>
    <n v="174610"/>
    <n v="5038"/>
    <n v="0.24489597511180244"/>
    <n v="338"/>
    <n v="7.85"/>
    <n v="20572"/>
  </r>
  <r>
    <x v="37"/>
    <s v="Instagram"/>
    <n v="819"/>
    <n v="95"/>
    <n v="177376"/>
    <n v="2492"/>
    <n v="0.16641068447412355"/>
    <n v="724"/>
    <n v="6.12"/>
    <n v="14975"/>
  </r>
  <r>
    <x v="37"/>
    <s v="Twitter"/>
    <n v="681"/>
    <n v="218"/>
    <n v="198882"/>
    <n v="5307"/>
    <n v="0.23868849509759826"/>
    <n v="463"/>
    <n v="7.16"/>
    <n v="22234"/>
  </r>
  <r>
    <x v="37"/>
    <s v="YouTube"/>
    <n v="646"/>
    <n v="290"/>
    <n v="336383"/>
    <n v="5538"/>
    <n v="0.84782608695652173"/>
    <n v="356"/>
    <n v="7.04"/>
    <n v="6532"/>
  </r>
  <r>
    <x v="38"/>
    <s v="Instagram"/>
    <n v="645"/>
    <n v="267"/>
    <n v="346890"/>
    <n v="2939"/>
    <n v="0.11823155523372757"/>
    <n v="378"/>
    <n v="3.71"/>
    <n v="24858"/>
  </r>
  <r>
    <x v="38"/>
    <s v="Twitter"/>
    <n v="886"/>
    <n v="250"/>
    <n v="168170"/>
    <n v="2731"/>
    <n v="0.19671540733270906"/>
    <n v="636"/>
    <n v="4.12"/>
    <n v="13883"/>
  </r>
  <r>
    <x v="38"/>
    <s v="YouTube"/>
    <n v="978"/>
    <n v="279"/>
    <n v="368872"/>
    <n v="4850"/>
    <n v="0.25999785568778816"/>
    <n v="699"/>
    <n v="6.82"/>
    <n v="18654"/>
  </r>
  <r>
    <x v="39"/>
    <s v="Instagram"/>
    <n v="1444"/>
    <n v="165"/>
    <n v="116436"/>
    <n v="3464"/>
    <n v="0.13727510501704049"/>
    <n v="1279"/>
    <n v="8.2200000000000006"/>
    <n v="25234"/>
  </r>
  <r>
    <x v="39"/>
    <s v="Twitter"/>
    <n v="1234"/>
    <n v="228"/>
    <n v="127502"/>
    <n v="3197"/>
    <n v="0.47209096278795037"/>
    <n v="1006"/>
    <n v="7.71"/>
    <n v="6772"/>
  </r>
  <r>
    <x v="39"/>
    <s v="YouTube"/>
    <n v="665"/>
    <n v="187"/>
    <n v="274567"/>
    <n v="2821"/>
    <n v="0.12578027465667915"/>
    <n v="478"/>
    <n v="7.39"/>
    <n v="22428"/>
  </r>
  <r>
    <x v="40"/>
    <s v="Instagram"/>
    <n v="631"/>
    <n v="86"/>
    <n v="295090"/>
    <n v="3730"/>
    <n v="0.31315590630509615"/>
    <n v="545"/>
    <n v="7.89"/>
    <n v="11911"/>
  </r>
  <r>
    <x v="40"/>
    <s v="Twitter"/>
    <n v="1159"/>
    <n v="154"/>
    <n v="194994"/>
    <n v="3444"/>
    <n v="0.15726027397260273"/>
    <n v="1005"/>
    <n v="6.39"/>
    <n v="21900"/>
  </r>
  <r>
    <x v="40"/>
    <s v="YouTube"/>
    <n v="950"/>
    <n v="185"/>
    <n v="340750"/>
    <n v="2123"/>
    <n v="8.3118001722652879E-2"/>
    <n v="765"/>
    <n v="6.77"/>
    <n v="25542"/>
  </r>
  <r>
    <x v="41"/>
    <s v="Instagram"/>
    <n v="693"/>
    <n v="129"/>
    <n v="296031"/>
    <n v="3234"/>
    <n v="0.45294117647058824"/>
    <n v="564"/>
    <n v="3.41"/>
    <n v="7140"/>
  </r>
  <r>
    <x v="41"/>
    <s v="Twitter"/>
    <n v="576"/>
    <n v="80"/>
    <n v="345688"/>
    <n v="4874"/>
    <n v="0.23805802481195662"/>
    <n v="496"/>
    <n v="4.1100000000000003"/>
    <n v="20474"/>
  </r>
  <r>
    <x v="41"/>
    <s v="YouTube"/>
    <n v="1274"/>
    <n v="146"/>
    <n v="263488"/>
    <n v="1917"/>
    <n v="0.22039549321683147"/>
    <n v="1128"/>
    <n v="9.58"/>
    <n v="8698"/>
  </r>
  <r>
    <x v="42"/>
    <s v="Instagram"/>
    <n v="818"/>
    <n v="253"/>
    <n v="184911"/>
    <n v="2156"/>
    <n v="0.2072678331090175"/>
    <n v="565"/>
    <n v="3.39"/>
    <n v="10402"/>
  </r>
  <r>
    <x v="42"/>
    <s v="Twitter"/>
    <n v="975"/>
    <n v="162"/>
    <n v="124497"/>
    <n v="2363"/>
    <n v="8.8774513487113987E-2"/>
    <n v="813"/>
    <n v="9.58"/>
    <n v="26618"/>
  </r>
  <r>
    <x v="42"/>
    <s v="YouTube"/>
    <n v="1398"/>
    <n v="97"/>
    <n v="397607"/>
    <n v="3682"/>
    <n v="0.46169278996865204"/>
    <n v="1301"/>
    <n v="5.09"/>
    <n v="7975"/>
  </r>
  <r>
    <x v="43"/>
    <s v="Instagram"/>
    <n v="591"/>
    <n v="155"/>
    <n v="138521"/>
    <n v="2575"/>
    <n v="0.13514222735383646"/>
    <n v="436"/>
    <n v="7.85"/>
    <n v="19054"/>
  </r>
  <r>
    <x v="43"/>
    <s v="Twitter"/>
    <n v="1232"/>
    <n v="254"/>
    <n v="107718"/>
    <n v="4620"/>
    <n v="0.33624454148471616"/>
    <n v="978"/>
    <n v="9.7100000000000009"/>
    <n v="13740"/>
  </r>
  <r>
    <x v="43"/>
    <s v="YouTube"/>
    <n v="1425"/>
    <n v="58"/>
    <n v="202234"/>
    <n v="2265"/>
    <n v="0.12281748183494198"/>
    <n v="1367"/>
    <n v="6.67"/>
    <n v="18442"/>
  </r>
  <r>
    <x v="44"/>
    <s v="Instagram"/>
    <n v="1417"/>
    <n v="80"/>
    <n v="340987"/>
    <n v="4274"/>
    <n v="0.42300079176563737"/>
    <n v="1337"/>
    <n v="6.13"/>
    <n v="10104"/>
  </r>
  <r>
    <x v="44"/>
    <s v="Twitter"/>
    <n v="1222"/>
    <n v="208"/>
    <n v="340098"/>
    <n v="3233"/>
    <n v="0.14850029856230765"/>
    <n v="1014"/>
    <n v="7.34"/>
    <n v="21771"/>
  </r>
  <r>
    <x v="44"/>
    <s v="YouTube"/>
    <n v="1071"/>
    <n v="131"/>
    <n v="254727"/>
    <n v="2993"/>
    <n v="0.13487449867063223"/>
    <n v="940"/>
    <n v="6.87"/>
    <n v="22191"/>
  </r>
  <r>
    <x v="45"/>
    <s v="Instagram"/>
    <n v="772"/>
    <n v="82"/>
    <n v="345659"/>
    <n v="4273"/>
    <n v="0.15396533708067597"/>
    <n v="690"/>
    <n v="3.52"/>
    <n v="27753"/>
  </r>
  <r>
    <x v="45"/>
    <s v="Twitter"/>
    <n v="1472"/>
    <n v="137"/>
    <n v="213950"/>
    <n v="2858"/>
    <n v="0.12040781934614088"/>
    <n v="1335"/>
    <n v="6.96"/>
    <n v="23736"/>
  </r>
  <r>
    <x v="45"/>
    <s v="YouTube"/>
    <n v="1472"/>
    <n v="281"/>
    <n v="258115"/>
    <n v="3424"/>
    <n v="0.12499543679042091"/>
    <n v="1191"/>
    <n v="7.23"/>
    <n v="27393"/>
  </r>
  <r>
    <x v="46"/>
    <s v="Instagram"/>
    <n v="585"/>
    <n v="232"/>
    <n v="321258"/>
    <n v="3916"/>
    <n v="0.37861355506139416"/>
    <n v="353"/>
    <n v="7.42"/>
    <n v="10343"/>
  </r>
  <r>
    <x v="46"/>
    <s v="Twitter"/>
    <n v="747"/>
    <n v="261"/>
    <n v="338650"/>
    <n v="3411"/>
    <n v="0.13504097549388336"/>
    <n v="486"/>
    <n v="7.73"/>
    <n v="25259"/>
  </r>
  <r>
    <x v="46"/>
    <s v="YouTube"/>
    <n v="1113"/>
    <n v="224"/>
    <n v="272989"/>
    <n v="3035"/>
    <n v="0.12224594191807306"/>
    <n v="889"/>
    <n v="5.13"/>
    <n v="24827"/>
  </r>
  <r>
    <x v="47"/>
    <s v="Instagram"/>
    <n v="1100"/>
    <n v="117"/>
    <n v="260204"/>
    <n v="2530"/>
    <n v="0.21246221027880416"/>
    <n v="983"/>
    <n v="4.4000000000000004"/>
    <n v="11908"/>
  </r>
  <r>
    <x v="47"/>
    <s v="Twitter"/>
    <n v="751"/>
    <n v="170"/>
    <n v="283278"/>
    <n v="2547"/>
    <n v="0.23144025442980462"/>
    <n v="581"/>
    <n v="3.49"/>
    <n v="11005"/>
  </r>
  <r>
    <x v="47"/>
    <s v="YouTube"/>
    <n v="864"/>
    <n v="50"/>
    <n v="277445"/>
    <n v="4627"/>
    <n v="0.17571108495044241"/>
    <n v="814"/>
    <n v="3.57"/>
    <n v="26333"/>
  </r>
  <r>
    <x v="48"/>
    <s v="Instagram"/>
    <n v="1146"/>
    <n v="227"/>
    <n v="353781"/>
    <n v="2466"/>
    <n v="0.44877161055505005"/>
    <n v="919"/>
    <n v="6.41"/>
    <n v="5495"/>
  </r>
  <r>
    <x v="48"/>
    <s v="Twitter"/>
    <n v="883"/>
    <n v="207"/>
    <n v="265019"/>
    <n v="3877"/>
    <n v="0.24765250718620249"/>
    <n v="676"/>
    <n v="6.04"/>
    <n v="15655"/>
  </r>
  <r>
    <x v="48"/>
    <s v="YouTube"/>
    <n v="622"/>
    <n v="163"/>
    <n v="231925"/>
    <n v="5036"/>
    <n v="0.3659085955096999"/>
    <n v="459"/>
    <n v="9.18"/>
    <n v="13763"/>
  </r>
  <r>
    <x v="49"/>
    <s v="Instagram"/>
    <n v="837"/>
    <n v="261"/>
    <n v="366149"/>
    <n v="2020"/>
    <n v="7.7474782341886247E-2"/>
    <n v="576"/>
    <n v="6.54"/>
    <n v="26073"/>
  </r>
  <r>
    <x v="49"/>
    <s v="Twitter"/>
    <n v="544"/>
    <n v="97"/>
    <n v="168375"/>
    <n v="3152"/>
    <n v="0.24675121340222328"/>
    <n v="447"/>
    <n v="8.66"/>
    <n v="12774"/>
  </r>
  <r>
    <x v="49"/>
    <s v="YouTube"/>
    <n v="624"/>
    <n v="247"/>
    <n v="252763"/>
    <n v="4219"/>
    <n v="0.22205263157894736"/>
    <n v="377"/>
    <n v="3.89"/>
    <n v="19000"/>
  </r>
  <r>
    <x v="50"/>
    <s v="Instagram"/>
    <n v="1073"/>
    <n v="141"/>
    <n v="118393"/>
    <n v="3147"/>
    <n v="0.22396982421179987"/>
    <n v="932"/>
    <n v="7.95"/>
    <n v="14051"/>
  </r>
  <r>
    <x v="50"/>
    <s v="Twitter"/>
    <n v="1430"/>
    <n v="74"/>
    <n v="327012"/>
    <n v="2570"/>
    <n v="9.2505939097257212E-2"/>
    <n v="1356"/>
    <n v="6.66"/>
    <n v="27782"/>
  </r>
  <r>
    <x v="50"/>
    <s v="YouTube"/>
    <n v="1358"/>
    <n v="77"/>
    <n v="169688"/>
    <n v="5303"/>
    <n v="0.6747677821605802"/>
    <n v="1281"/>
    <n v="5.25"/>
    <n v="7859"/>
  </r>
  <r>
    <x v="51"/>
    <s v="Instagram"/>
    <n v="1242"/>
    <n v="201"/>
    <n v="271935"/>
    <n v="5320"/>
    <n v="0.33728523426107904"/>
    <n v="1041"/>
    <n v="5.07"/>
    <n v="15773"/>
  </r>
  <r>
    <x v="51"/>
    <s v="Twitter"/>
    <n v="1389"/>
    <n v="205"/>
    <n v="315981"/>
    <n v="3383"/>
    <n v="0.16426317067249332"/>
    <n v="1184"/>
    <n v="7.62"/>
    <n v="20595"/>
  </r>
  <r>
    <x v="51"/>
    <s v="YouTube"/>
    <n v="826"/>
    <n v="142"/>
    <n v="341016"/>
    <n v="2727"/>
    <n v="0.22666445017039316"/>
    <n v="684"/>
    <n v="7.44"/>
    <n v="12031"/>
  </r>
  <r>
    <x v="52"/>
    <s v="Instagram"/>
    <n v="618"/>
    <n v="264"/>
    <n v="285164"/>
    <n v="3731"/>
    <n v="0.24662876784769963"/>
    <n v="354"/>
    <n v="4.8600000000000003"/>
    <n v="15128"/>
  </r>
  <r>
    <x v="52"/>
    <s v="Twitter"/>
    <n v="1419"/>
    <n v="293"/>
    <n v="116632"/>
    <n v="5593"/>
    <n v="0.47294097750718755"/>
    <n v="1126"/>
    <n v="6.93"/>
    <n v="11826"/>
  </r>
  <r>
    <x v="52"/>
    <s v="YouTube"/>
    <n v="637"/>
    <n v="68"/>
    <n v="115694"/>
    <n v="2702"/>
    <n v="0.21509313803534469"/>
    <n v="569"/>
    <n v="9.99"/>
    <n v="12562"/>
  </r>
  <r>
    <x v="53"/>
    <s v="Instagram"/>
    <n v="917"/>
    <n v="187"/>
    <n v="64444"/>
    <n v="2685"/>
    <n v="0.20633212940905249"/>
    <n v="730"/>
    <n v="5.22"/>
    <n v="13013"/>
  </r>
  <r>
    <x v="53"/>
    <s v="Twitter"/>
    <n v="810"/>
    <n v="232"/>
    <n v="362559"/>
    <n v="2712"/>
    <n v="0.20963129009816805"/>
    <n v="578"/>
    <n v="5.17"/>
    <n v="12937"/>
  </r>
  <r>
    <x v="53"/>
    <s v="YouTube"/>
    <n v="1183"/>
    <n v="248"/>
    <n v="226881"/>
    <n v="4545"/>
    <n v="0.31271501307279481"/>
    <n v="935"/>
    <n v="5.17"/>
    <n v="14534"/>
  </r>
  <r>
    <x v="54"/>
    <s v="Instagram"/>
    <n v="765"/>
    <n v="67"/>
    <n v="283537"/>
    <n v="2424"/>
    <n v="0.29626008310926422"/>
    <n v="698"/>
    <n v="6.18"/>
    <n v="8182"/>
  </r>
  <r>
    <x v="54"/>
    <s v="Twitter"/>
    <n v="540"/>
    <n v="215"/>
    <n v="62837"/>
    <n v="1746"/>
    <n v="0.16448422044276967"/>
    <n v="325"/>
    <n v="5.3"/>
    <n v="10615"/>
  </r>
  <r>
    <x v="54"/>
    <s v="YouTube"/>
    <n v="1145"/>
    <n v="151"/>
    <n v="182759"/>
    <n v="4207"/>
    <n v="0.20920980655427918"/>
    <n v="994"/>
    <n v="5.99"/>
    <n v="20109"/>
  </r>
  <r>
    <x v="55"/>
    <s v="Instagram"/>
    <n v="564"/>
    <n v="244"/>
    <n v="279405"/>
    <n v="3793"/>
    <n v="0.14575007685213648"/>
    <n v="320"/>
    <n v="8.43"/>
    <n v="26024"/>
  </r>
  <r>
    <x v="55"/>
    <s v="Twitter"/>
    <n v="668"/>
    <n v="124"/>
    <n v="257485"/>
    <n v="3253"/>
    <n v="0.12169846614291059"/>
    <n v="544"/>
    <n v="7.55"/>
    <n v="26730"/>
  </r>
  <r>
    <x v="55"/>
    <s v="YouTube"/>
    <n v="761"/>
    <n v="241"/>
    <n v="154977"/>
    <n v="2996"/>
    <n v="0.28363154406891983"/>
    <n v="520"/>
    <n v="5.63"/>
    <n v="10563"/>
  </r>
  <r>
    <x v="56"/>
    <s v="Instagram"/>
    <n v="593"/>
    <n v="108"/>
    <n v="216500"/>
    <n v="1853"/>
    <n v="6.7198549410698097E-2"/>
    <n v="485"/>
    <n v="4.71"/>
    <n v="27575"/>
  </r>
  <r>
    <x v="56"/>
    <s v="Twitter"/>
    <n v="1349"/>
    <n v="115"/>
    <n v="102102"/>
    <n v="2063"/>
    <n v="0.14248221562262586"/>
    <n v="1234"/>
    <n v="5.28"/>
    <n v="14479"/>
  </r>
  <r>
    <x v="56"/>
    <s v="YouTube"/>
    <n v="693"/>
    <n v="97"/>
    <n v="92025"/>
    <n v="4604"/>
    <n v="0.28928683631793906"/>
    <n v="596"/>
    <n v="5.95"/>
    <n v="15915"/>
  </r>
  <r>
    <x v="57"/>
    <s v="Instagram"/>
    <n v="974"/>
    <n v="143"/>
    <n v="247965"/>
    <n v="5124"/>
    <n v="0.40134722331009637"/>
    <n v="831"/>
    <n v="9.98"/>
    <n v="12767"/>
  </r>
  <r>
    <x v="57"/>
    <s v="Twitter"/>
    <n v="1155"/>
    <n v="122"/>
    <n v="387352"/>
    <n v="3642"/>
    <n v="0.29926047658175842"/>
    <n v="1033"/>
    <n v="9.93"/>
    <n v="12170"/>
  </r>
  <r>
    <x v="57"/>
    <s v="YouTube"/>
    <n v="1051"/>
    <n v="246"/>
    <n v="253985"/>
    <n v="2112"/>
    <n v="0.29151138716356106"/>
    <n v="805"/>
    <n v="9.08"/>
    <n v="7245"/>
  </r>
  <r>
    <x v="58"/>
    <s v="Instagram"/>
    <n v="1457"/>
    <n v="183"/>
    <n v="129640"/>
    <n v="1837"/>
    <n v="0.14147092799383904"/>
    <n v="1274"/>
    <n v="7.98"/>
    <n v="12985"/>
  </r>
  <r>
    <x v="58"/>
    <s v="Twitter"/>
    <n v="670"/>
    <n v="242"/>
    <n v="281913"/>
    <n v="2914"/>
    <n v="0.17793246626366246"/>
    <n v="428"/>
    <n v="9.6199999999999992"/>
    <n v="16377"/>
  </r>
  <r>
    <x v="58"/>
    <s v="YouTube"/>
    <n v="1111"/>
    <n v="159"/>
    <n v="360770"/>
    <n v="2560"/>
    <n v="0.22352222125207369"/>
    <n v="952"/>
    <n v="8.7100000000000009"/>
    <n v="11453"/>
  </r>
  <r>
    <x v="59"/>
    <s v="Instagram"/>
    <n v="1197"/>
    <n v="246"/>
    <n v="127273"/>
    <n v="4422"/>
    <n v="0.35884119126836"/>
    <n v="951"/>
    <n v="6.69"/>
    <n v="12323"/>
  </r>
  <r>
    <x v="59"/>
    <s v="Twitter"/>
    <n v="754"/>
    <n v="150"/>
    <n v="189622"/>
    <n v="5700"/>
    <n v="0.47854924019813616"/>
    <n v="604"/>
    <n v="4.25"/>
    <n v="11911"/>
  </r>
  <r>
    <x v="59"/>
    <s v="YouTube"/>
    <n v="1246"/>
    <n v="107"/>
    <n v="350949"/>
    <n v="3010"/>
    <n v="0.10823834010572117"/>
    <n v="1139"/>
    <n v="4.9800000000000004"/>
    <n v="27809"/>
  </r>
  <r>
    <x v="60"/>
    <s v="Instagram"/>
    <n v="780"/>
    <n v="213"/>
    <n v="121431"/>
    <n v="1960"/>
    <n v="9.1315691390234807E-2"/>
    <n v="567"/>
    <n v="4.97"/>
    <n v="21464"/>
  </r>
  <r>
    <x v="60"/>
    <s v="Twitter"/>
    <n v="1425"/>
    <n v="143"/>
    <n v="116742"/>
    <n v="2325"/>
    <n v="8.5711125857111256E-2"/>
    <n v="1282"/>
    <n v="3.71"/>
    <n v="27126"/>
  </r>
  <r>
    <x v="60"/>
    <s v="YouTube"/>
    <n v="1490"/>
    <n v="103"/>
    <n v="81184"/>
    <n v="5507"/>
    <n v="0.51558842804980809"/>
    <n v="1387"/>
    <n v="7.79"/>
    <n v="10681"/>
  </r>
  <r>
    <x v="61"/>
    <s v="Instagram"/>
    <n v="949"/>
    <n v="282"/>
    <n v="87126"/>
    <n v="2867"/>
    <n v="0.52965084056900058"/>
    <n v="667"/>
    <n v="4.96"/>
    <n v="5413"/>
  </r>
  <r>
    <x v="61"/>
    <s v="Twitter"/>
    <n v="640"/>
    <n v="141"/>
    <n v="267546"/>
    <n v="3350"/>
    <n v="0.13368983957219252"/>
    <n v="499"/>
    <n v="8.58"/>
    <n v="25058"/>
  </r>
  <r>
    <x v="61"/>
    <s v="YouTube"/>
    <n v="616"/>
    <n v="93"/>
    <n v="133082"/>
    <n v="5410"/>
    <n v="0.29557995956946947"/>
    <n v="523"/>
    <n v="8.51"/>
    <n v="18303"/>
  </r>
  <r>
    <x v="62"/>
    <s v="Instagram"/>
    <n v="1080"/>
    <n v="184"/>
    <n v="340557"/>
    <n v="1842"/>
    <n v="0.33333333333333331"/>
    <n v="896"/>
    <n v="5.41"/>
    <n v="5526"/>
  </r>
  <r>
    <x v="62"/>
    <s v="Twitter"/>
    <n v="938"/>
    <n v="236"/>
    <n v="116472"/>
    <n v="4336"/>
    <n v="0.24833906071019474"/>
    <n v="702"/>
    <n v="8.7200000000000006"/>
    <n v="17460"/>
  </r>
  <r>
    <x v="62"/>
    <s v="YouTube"/>
    <n v="1007"/>
    <n v="258"/>
    <n v="113412"/>
    <n v="4520"/>
    <n v="0.31226252158894646"/>
    <n v="749"/>
    <n v="7.71"/>
    <n v="14475"/>
  </r>
  <r>
    <x v="63"/>
    <s v="Instagram"/>
    <n v="541"/>
    <n v="208"/>
    <n v="157547"/>
    <n v="2861"/>
    <n v="0.14190060509870053"/>
    <n v="333"/>
    <n v="8.35"/>
    <n v="20162"/>
  </r>
  <r>
    <x v="63"/>
    <s v="Twitter"/>
    <n v="745"/>
    <n v="98"/>
    <n v="354816"/>
    <n v="3993"/>
    <n v="0.23346781266444483"/>
    <n v="647"/>
    <n v="4.03"/>
    <n v="17103"/>
  </r>
  <r>
    <x v="63"/>
    <s v="YouTube"/>
    <n v="936"/>
    <n v="97"/>
    <n v="151799"/>
    <n v="3261"/>
    <n v="0.21091779315697562"/>
    <n v="839"/>
    <n v="9.3699999999999992"/>
    <n v="15461"/>
  </r>
  <r>
    <x v="64"/>
    <s v="Instagram"/>
    <n v="1183"/>
    <n v="223"/>
    <n v="143811"/>
    <n v="5206"/>
    <n v="0.23553363796769669"/>
    <n v="960"/>
    <n v="6.07"/>
    <n v="22103"/>
  </r>
  <r>
    <x v="64"/>
    <s v="Twitter"/>
    <n v="1413"/>
    <n v="245"/>
    <n v="296450"/>
    <n v="3916"/>
    <n v="0.33686021505376346"/>
    <n v="1168"/>
    <n v="6.52"/>
    <n v="11625"/>
  </r>
  <r>
    <x v="64"/>
    <s v="YouTube"/>
    <n v="791"/>
    <n v="273"/>
    <n v="144049"/>
    <n v="4880"/>
    <n v="0.92406741147509941"/>
    <n v="518"/>
    <n v="3.08"/>
    <n v="5281"/>
  </r>
  <r>
    <x v="65"/>
    <s v="Instagram"/>
    <n v="1052"/>
    <n v="180"/>
    <n v="272534"/>
    <n v="4726"/>
    <n v="0.3520560190703218"/>
    <n v="872"/>
    <n v="5.34"/>
    <n v="13424"/>
  </r>
  <r>
    <x v="65"/>
    <s v="Twitter"/>
    <n v="572"/>
    <n v="270"/>
    <n v="82265"/>
    <n v="3296"/>
    <n v="0.25083713850837136"/>
    <n v="302"/>
    <n v="3.65"/>
    <n v="13140"/>
  </r>
  <r>
    <x v="65"/>
    <s v="YouTube"/>
    <n v="503"/>
    <n v="253"/>
    <n v="313562"/>
    <n v="3386"/>
    <n v="0.173303306377316"/>
    <n v="250"/>
    <n v="4.18"/>
    <n v="19538"/>
  </r>
  <r>
    <x v="66"/>
    <s v="Instagram"/>
    <n v="1017"/>
    <n v="197"/>
    <n v="89918"/>
    <n v="2357"/>
    <n v="0.29907372160893286"/>
    <n v="820"/>
    <n v="3.91"/>
    <n v="7881"/>
  </r>
  <r>
    <x v="66"/>
    <s v="Twitter"/>
    <n v="860"/>
    <n v="244"/>
    <n v="348686"/>
    <n v="4700"/>
    <n v="0.41163075845156771"/>
    <n v="616"/>
    <n v="5.12"/>
    <n v="11418"/>
  </r>
  <r>
    <x v="67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18CB8E-9E94-40F6-8520-3183A4A5D593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A4:F14" firstHeaderRow="0" firstDataRow="1" firstDataCol="1"/>
  <pivotFields count="17">
    <pivotField showAll="0"/>
    <pivotField axis="axisRow" showAll="0">
      <items count="4">
        <item x="0"/>
        <item x="2"/>
        <item x="1"/>
        <item t="default"/>
      </items>
    </pivotField>
    <pivotField numFmtId="14" showAll="0">
      <items count="236">
        <item x="220"/>
        <item x="182"/>
        <item x="136"/>
        <item x="12"/>
        <item x="33"/>
        <item x="19"/>
        <item x="213"/>
        <item x="223"/>
        <item x="54"/>
        <item x="204"/>
        <item x="186"/>
        <item x="172"/>
        <item x="25"/>
        <item x="35"/>
        <item x="32"/>
        <item x="65"/>
        <item x="131"/>
        <item x="140"/>
        <item x="139"/>
        <item x="228"/>
        <item x="62"/>
        <item x="10"/>
        <item x="110"/>
        <item x="146"/>
        <item x="80"/>
        <item x="211"/>
        <item x="117"/>
        <item x="67"/>
        <item x="24"/>
        <item x="217"/>
        <item x="3"/>
        <item x="218"/>
        <item x="178"/>
        <item x="177"/>
        <item x="232"/>
        <item x="126"/>
        <item x="51"/>
        <item x="145"/>
        <item x="224"/>
        <item x="76"/>
        <item x="18"/>
        <item x="221"/>
        <item x="123"/>
        <item x="43"/>
        <item x="1"/>
        <item x="150"/>
        <item x="200"/>
        <item x="15"/>
        <item x="47"/>
        <item x="99"/>
        <item x="173"/>
        <item x="121"/>
        <item x="83"/>
        <item x="6"/>
        <item x="92"/>
        <item x="164"/>
        <item x="102"/>
        <item x="160"/>
        <item x="194"/>
        <item x="31"/>
        <item x="219"/>
        <item x="91"/>
        <item x="180"/>
        <item x="171"/>
        <item x="17"/>
        <item x="155"/>
        <item x="48"/>
        <item x="208"/>
        <item x="215"/>
        <item x="93"/>
        <item x="2"/>
        <item x="231"/>
        <item x="214"/>
        <item x="192"/>
        <item x="36"/>
        <item x="64"/>
        <item x="233"/>
        <item x="84"/>
        <item x="28"/>
        <item x="137"/>
        <item x="124"/>
        <item x="4"/>
        <item x="16"/>
        <item x="207"/>
        <item x="195"/>
        <item x="191"/>
        <item x="9"/>
        <item x="115"/>
        <item x="13"/>
        <item x="198"/>
        <item x="225"/>
        <item x="26"/>
        <item x="175"/>
        <item x="52"/>
        <item x="106"/>
        <item x="74"/>
        <item x="212"/>
        <item x="14"/>
        <item x="149"/>
        <item x="85"/>
        <item x="107"/>
        <item x="197"/>
        <item x="22"/>
        <item x="81"/>
        <item x="71"/>
        <item x="152"/>
        <item x="227"/>
        <item x="167"/>
        <item x="8"/>
        <item x="69"/>
        <item x="114"/>
        <item x="141"/>
        <item x="196"/>
        <item x="132"/>
        <item x="193"/>
        <item x="111"/>
        <item x="39"/>
        <item x="118"/>
        <item x="226"/>
        <item x="184"/>
        <item x="56"/>
        <item x="79"/>
        <item x="59"/>
        <item x="216"/>
        <item x="20"/>
        <item x="109"/>
        <item x="202"/>
        <item x="108"/>
        <item x="5"/>
        <item x="130"/>
        <item x="156"/>
        <item x="73"/>
        <item x="168"/>
        <item x="116"/>
        <item x="78"/>
        <item x="77"/>
        <item x="50"/>
        <item x="176"/>
        <item x="122"/>
        <item x="75"/>
        <item x="40"/>
        <item x="112"/>
        <item x="46"/>
        <item x="7"/>
        <item x="185"/>
        <item x="94"/>
        <item x="210"/>
        <item x="135"/>
        <item x="88"/>
        <item x="90"/>
        <item x="55"/>
        <item x="63"/>
        <item x="205"/>
        <item x="153"/>
        <item x="170"/>
        <item x="159"/>
        <item x="70"/>
        <item x="148"/>
        <item x="86"/>
        <item x="162"/>
        <item x="127"/>
        <item x="96"/>
        <item x="45"/>
        <item x="103"/>
        <item x="97"/>
        <item x="61"/>
        <item x="27"/>
        <item x="60"/>
        <item x="125"/>
        <item x="30"/>
        <item x="209"/>
        <item x="179"/>
        <item x="157"/>
        <item x="169"/>
        <item x="142"/>
        <item x="44"/>
        <item x="82"/>
        <item x="0"/>
        <item x="133"/>
        <item x="143"/>
        <item x="187"/>
        <item x="100"/>
        <item x="113"/>
        <item x="174"/>
        <item x="144"/>
        <item x="230"/>
        <item x="41"/>
        <item x="134"/>
        <item x="11"/>
        <item x="21"/>
        <item x="158"/>
        <item x="120"/>
        <item x="163"/>
        <item x="34"/>
        <item x="189"/>
        <item x="66"/>
        <item x="190"/>
        <item x="49"/>
        <item x="58"/>
        <item x="206"/>
        <item x="38"/>
        <item x="29"/>
        <item x="57"/>
        <item x="234"/>
        <item x="101"/>
        <item x="95"/>
        <item x="23"/>
        <item x="147"/>
        <item x="199"/>
        <item x="87"/>
        <item x="222"/>
        <item x="165"/>
        <item x="203"/>
        <item x="68"/>
        <item x="119"/>
        <item x="229"/>
        <item x="37"/>
        <item x="42"/>
        <item x="166"/>
        <item x="104"/>
        <item x="181"/>
        <item x="128"/>
        <item x="53"/>
        <item x="72"/>
        <item x="98"/>
        <item x="188"/>
        <item x="89"/>
        <item x="105"/>
        <item x="161"/>
        <item x="201"/>
        <item x="129"/>
        <item x="154"/>
        <item x="151"/>
        <item x="138"/>
        <item x="183"/>
        <item t="default"/>
      </items>
    </pivotField>
    <pivotField axis="axisRow" showAll="0">
      <items count="4">
        <item x="2"/>
        <item x="1"/>
        <item x="0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dataField="1" numFmtId="10" showAll="0"/>
    <pivotField showAll="0">
      <items count="9">
        <item x="0"/>
        <item x="6"/>
        <item x="7"/>
        <item x="1"/>
        <item x="5"/>
        <item x="4"/>
        <item x="2"/>
        <item x="3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3"/>
    <field x="1"/>
  </rowFields>
  <rowItems count="10">
    <i>
      <x/>
    </i>
    <i r="1">
      <x v="2"/>
    </i>
    <i>
      <x v="1"/>
    </i>
    <i r="1">
      <x/>
    </i>
    <i r="1">
      <x v="1"/>
    </i>
    <i>
      <x v="2"/>
    </i>
    <i r="1">
      <x/>
    </i>
    <i r="1">
      <x v="1"/>
    </i>
    <i r="1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Average of Engagement rate" fld="11" subtotal="average" baseField="3" baseItem="0" numFmtId="10"/>
    <dataField name="Sum of Likes" fld="5" baseField="0" baseItem="0"/>
    <dataField name="Sum of Comments" fld="7" baseField="0" baseItem="0"/>
    <dataField name="Sum of Shares" fld="6" baseField="0" baseItem="0"/>
    <dataField name="Average of Clicks" fld="10" subtotal="average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B7E676-63DB-4A83-ABD4-FAFDA5AECCB0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7:B26" firstHeaderRow="1" firstDataRow="1" firstDataCol="1"/>
  <pivotFields count="17">
    <pivotField showAll="0"/>
    <pivotField showAll="0"/>
    <pivotField numFmtId="14" showAll="0">
      <items count="236">
        <item x="220"/>
        <item x="182"/>
        <item x="136"/>
        <item x="12"/>
        <item x="33"/>
        <item x="19"/>
        <item x="213"/>
        <item x="223"/>
        <item x="54"/>
        <item x="204"/>
        <item x="186"/>
        <item x="172"/>
        <item x="25"/>
        <item x="35"/>
        <item x="32"/>
        <item x="65"/>
        <item x="131"/>
        <item x="140"/>
        <item x="139"/>
        <item x="228"/>
        <item x="62"/>
        <item x="10"/>
        <item x="110"/>
        <item x="146"/>
        <item x="80"/>
        <item x="211"/>
        <item x="117"/>
        <item x="67"/>
        <item x="24"/>
        <item x="217"/>
        <item x="3"/>
        <item x="218"/>
        <item x="178"/>
        <item x="177"/>
        <item x="232"/>
        <item x="126"/>
        <item x="51"/>
        <item x="145"/>
        <item x="224"/>
        <item x="76"/>
        <item x="18"/>
        <item x="221"/>
        <item x="123"/>
        <item x="43"/>
        <item x="1"/>
        <item x="150"/>
        <item x="200"/>
        <item x="15"/>
        <item x="47"/>
        <item x="99"/>
        <item x="173"/>
        <item x="121"/>
        <item x="83"/>
        <item x="6"/>
        <item x="92"/>
        <item x="164"/>
        <item x="102"/>
        <item x="160"/>
        <item x="194"/>
        <item x="31"/>
        <item x="219"/>
        <item x="91"/>
        <item x="180"/>
        <item x="171"/>
        <item x="17"/>
        <item x="155"/>
        <item x="48"/>
        <item x="208"/>
        <item x="215"/>
        <item x="93"/>
        <item x="2"/>
        <item x="231"/>
        <item x="214"/>
        <item x="192"/>
        <item x="36"/>
        <item x="64"/>
        <item x="233"/>
        <item x="84"/>
        <item x="28"/>
        <item x="137"/>
        <item x="124"/>
        <item x="4"/>
        <item x="16"/>
        <item x="207"/>
        <item x="195"/>
        <item x="191"/>
        <item x="9"/>
        <item x="115"/>
        <item x="13"/>
        <item x="198"/>
        <item x="225"/>
        <item x="26"/>
        <item x="175"/>
        <item x="52"/>
        <item x="106"/>
        <item x="74"/>
        <item x="212"/>
        <item x="14"/>
        <item x="149"/>
        <item x="85"/>
        <item x="107"/>
        <item x="197"/>
        <item x="22"/>
        <item x="81"/>
        <item x="71"/>
        <item x="152"/>
        <item x="227"/>
        <item x="167"/>
        <item x="8"/>
        <item x="69"/>
        <item x="114"/>
        <item x="141"/>
        <item x="196"/>
        <item x="132"/>
        <item x="193"/>
        <item x="111"/>
        <item x="39"/>
        <item x="118"/>
        <item x="226"/>
        <item x="184"/>
        <item x="56"/>
        <item x="79"/>
        <item x="59"/>
        <item x="216"/>
        <item x="20"/>
        <item x="109"/>
        <item x="202"/>
        <item x="108"/>
        <item x="5"/>
        <item x="130"/>
        <item x="156"/>
        <item x="73"/>
        <item x="168"/>
        <item x="116"/>
        <item x="78"/>
        <item x="77"/>
        <item x="50"/>
        <item x="176"/>
        <item x="122"/>
        <item x="75"/>
        <item x="40"/>
        <item x="112"/>
        <item x="46"/>
        <item x="7"/>
        <item x="185"/>
        <item x="94"/>
        <item x="210"/>
        <item x="135"/>
        <item x="88"/>
        <item x="90"/>
        <item x="55"/>
        <item x="63"/>
        <item x="205"/>
        <item x="153"/>
        <item x="170"/>
        <item x="159"/>
        <item x="70"/>
        <item x="148"/>
        <item x="86"/>
        <item x="162"/>
        <item x="127"/>
        <item x="96"/>
        <item x="45"/>
        <item x="103"/>
        <item x="97"/>
        <item x="61"/>
        <item x="27"/>
        <item x="60"/>
        <item x="125"/>
        <item x="30"/>
        <item x="209"/>
        <item x="179"/>
        <item x="157"/>
        <item x="169"/>
        <item x="142"/>
        <item x="44"/>
        <item x="82"/>
        <item x="0"/>
        <item x="133"/>
        <item x="143"/>
        <item x="187"/>
        <item x="100"/>
        <item x="113"/>
        <item x="174"/>
        <item x="144"/>
        <item x="230"/>
        <item x="41"/>
        <item x="134"/>
        <item x="11"/>
        <item x="21"/>
        <item x="158"/>
        <item x="120"/>
        <item x="163"/>
        <item x="34"/>
        <item x="189"/>
        <item x="66"/>
        <item x="190"/>
        <item x="49"/>
        <item x="58"/>
        <item x="206"/>
        <item x="38"/>
        <item x="29"/>
        <item x="57"/>
        <item x="234"/>
        <item x="101"/>
        <item x="95"/>
        <item x="23"/>
        <item x="147"/>
        <item x="199"/>
        <item x="87"/>
        <item x="222"/>
        <item x="165"/>
        <item x="203"/>
        <item x="68"/>
        <item x="119"/>
        <item x="229"/>
        <item x="37"/>
        <item x="42"/>
        <item x="166"/>
        <item x="104"/>
        <item x="181"/>
        <item x="128"/>
        <item x="53"/>
        <item x="72"/>
        <item x="98"/>
        <item x="188"/>
        <item x="89"/>
        <item x="105"/>
        <item x="161"/>
        <item x="201"/>
        <item x="129"/>
        <item x="154"/>
        <item x="151"/>
        <item x="138"/>
        <item x="183"/>
        <item t="default"/>
      </items>
    </pivotField>
    <pivotField showAll="0"/>
    <pivotField showAll="0">
      <items count="11">
        <item x="3"/>
        <item x="0"/>
        <item x="7"/>
        <item x="8"/>
        <item x="1"/>
        <item x="5"/>
        <item x="9"/>
        <item x="2"/>
        <item x="6"/>
        <item x="4"/>
        <item t="default"/>
      </items>
    </pivotField>
    <pivotField showAll="0"/>
    <pivotField showAll="0"/>
    <pivotField showAll="0"/>
    <pivotField showAll="0"/>
    <pivotField showAll="0"/>
    <pivotField dataField="1" showAll="0">
      <items count="166">
        <item x="6"/>
        <item x="110"/>
        <item x="87"/>
        <item x="88"/>
        <item x="147"/>
        <item x="84"/>
        <item x="134"/>
        <item x="3"/>
        <item x="4"/>
        <item x="140"/>
        <item x="10"/>
        <item x="155"/>
        <item x="67"/>
        <item x="137"/>
        <item x="111"/>
        <item x="135"/>
        <item x="28"/>
        <item x="117"/>
        <item x="119"/>
        <item x="36"/>
        <item x="164"/>
        <item x="96"/>
        <item x="17"/>
        <item x="24"/>
        <item x="114"/>
        <item x="142"/>
        <item x="138"/>
        <item x="15"/>
        <item x="54"/>
        <item x="149"/>
        <item x="99"/>
        <item x="112"/>
        <item x="98"/>
        <item x="92"/>
        <item x="73"/>
        <item x="144"/>
        <item x="152"/>
        <item x="150"/>
        <item x="29"/>
        <item x="139"/>
        <item x="7"/>
        <item x="19"/>
        <item x="131"/>
        <item x="35"/>
        <item x="106"/>
        <item x="121"/>
        <item x="33"/>
        <item x="151"/>
        <item x="81"/>
        <item x="94"/>
        <item x="2"/>
        <item x="113"/>
        <item x="93"/>
        <item x="80"/>
        <item x="79"/>
        <item x="97"/>
        <item x="40"/>
        <item x="66"/>
        <item x="70"/>
        <item x="127"/>
        <item x="122"/>
        <item x="104"/>
        <item x="128"/>
        <item x="52"/>
        <item x="25"/>
        <item x="105"/>
        <item x="82"/>
        <item x="64"/>
        <item x="72"/>
        <item x="5"/>
        <item x="44"/>
        <item x="57"/>
        <item x="13"/>
        <item x="49"/>
        <item x="86"/>
        <item x="136"/>
        <item x="27"/>
        <item x="23"/>
        <item x="22"/>
        <item x="163"/>
        <item x="56"/>
        <item x="71"/>
        <item x="26"/>
        <item x="20"/>
        <item x="159"/>
        <item x="74"/>
        <item x="107"/>
        <item x="60"/>
        <item x="78"/>
        <item x="108"/>
        <item x="1"/>
        <item x="9"/>
        <item x="130"/>
        <item x="161"/>
        <item x="34"/>
        <item x="156"/>
        <item x="21"/>
        <item x="50"/>
        <item x="153"/>
        <item x="125"/>
        <item x="129"/>
        <item x="53"/>
        <item x="118"/>
        <item x="157"/>
        <item x="146"/>
        <item x="101"/>
        <item x="126"/>
        <item x="14"/>
        <item x="18"/>
        <item x="148"/>
        <item x="143"/>
        <item x="162"/>
        <item x="95"/>
        <item x="77"/>
        <item x="47"/>
        <item x="116"/>
        <item x="75"/>
        <item x="124"/>
        <item x="32"/>
        <item x="16"/>
        <item x="11"/>
        <item x="154"/>
        <item x="115"/>
        <item x="37"/>
        <item x="63"/>
        <item x="69"/>
        <item x="30"/>
        <item x="58"/>
        <item x="160"/>
        <item x="62"/>
        <item x="100"/>
        <item x="45"/>
        <item x="133"/>
        <item x="68"/>
        <item x="103"/>
        <item x="85"/>
        <item x="132"/>
        <item x="158"/>
        <item x="89"/>
        <item x="48"/>
        <item x="123"/>
        <item x="59"/>
        <item x="39"/>
        <item x="0"/>
        <item x="41"/>
        <item x="120"/>
        <item x="31"/>
        <item x="46"/>
        <item x="90"/>
        <item x="51"/>
        <item x="102"/>
        <item x="83"/>
        <item x="38"/>
        <item x="91"/>
        <item x="42"/>
        <item x="109"/>
        <item x="8"/>
        <item x="12"/>
        <item x="55"/>
        <item x="61"/>
        <item x="76"/>
        <item x="145"/>
        <item x="65"/>
        <item x="43"/>
        <item x="141"/>
        <item t="default"/>
      </items>
    </pivotField>
    <pivotField numFmtId="10" showAll="0"/>
    <pivotField axis="axisRow" showAll="0" sortType="descending">
      <items count="9">
        <item x="0"/>
        <item x="6"/>
        <item x="7"/>
        <item x="1"/>
        <item x="5"/>
        <item x="4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2"/>
  </rowFields>
  <rowItems count="9">
    <i>
      <x v="3"/>
    </i>
    <i>
      <x v="6"/>
    </i>
    <i>
      <x v="1"/>
    </i>
    <i>
      <x/>
    </i>
    <i>
      <x v="7"/>
    </i>
    <i>
      <x v="2"/>
    </i>
    <i>
      <x v="5"/>
    </i>
    <i>
      <x v="4"/>
    </i>
    <i t="grand">
      <x/>
    </i>
  </rowItems>
  <colItems count="1">
    <i/>
  </colItems>
  <dataFields count="1">
    <dataField name="Average of Clicks" fld="10" subtotal="average" baseField="12" baseItem="0"/>
  </dataFields>
  <formats count="2">
    <format dxfId="14">
      <pivotArea collapsedLevelsAreSubtotals="1" fieldPosition="0">
        <references count="1">
          <reference field="12" count="1">
            <x v="3"/>
          </reference>
        </references>
      </pivotArea>
    </format>
    <format dxfId="13">
      <pivotArea collapsedLevelsAreSubtotals="1" fieldPosition="0">
        <references count="1">
          <reference field="12" count="1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08049-5026-496E-9721-E164E086A17F}" name="PivotTable1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J19:L23" firstHeaderRow="0" firstDataRow="1" firstDataCol="1"/>
  <pivotFields count="7">
    <pivotField numFmtId="14"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>
      <items count="179">
        <item x="172"/>
        <item x="97"/>
        <item x="80"/>
        <item x="91"/>
        <item x="95"/>
        <item x="45"/>
        <item x="116"/>
        <item x="41"/>
        <item x="114"/>
        <item x="49"/>
        <item x="128"/>
        <item x="89"/>
        <item x="121"/>
        <item x="26"/>
        <item x="129"/>
        <item x="174"/>
        <item x="94"/>
        <item x="105"/>
        <item x="24"/>
        <item x="134"/>
        <item x="176"/>
        <item x="168"/>
        <item x="61"/>
        <item x="85"/>
        <item x="60"/>
        <item x="115"/>
        <item x="106"/>
        <item x="175"/>
        <item x="23"/>
        <item x="161"/>
        <item x="14"/>
        <item x="127"/>
        <item x="58"/>
        <item x="13"/>
        <item x="67"/>
        <item x="8"/>
        <item x="151"/>
        <item x="83"/>
        <item x="84"/>
        <item x="141"/>
        <item x="98"/>
        <item x="164"/>
        <item x="163"/>
        <item x="162"/>
        <item x="78"/>
        <item x="138"/>
        <item x="117"/>
        <item x="177"/>
        <item x="126"/>
        <item x="145"/>
        <item x="144"/>
        <item x="137"/>
        <item x="152"/>
        <item x="6"/>
        <item x="28"/>
        <item x="81"/>
        <item x="173"/>
        <item x="33"/>
        <item x="59"/>
        <item x="12"/>
        <item x="74"/>
        <item x="47"/>
        <item x="150"/>
        <item x="22"/>
        <item x="25"/>
        <item x="32"/>
        <item x="36"/>
        <item x="153"/>
        <item x="29"/>
        <item x="147"/>
        <item x="40"/>
        <item x="131"/>
        <item x="34"/>
        <item x="86"/>
        <item x="170"/>
        <item x="102"/>
        <item x="119"/>
        <item x="146"/>
        <item x="52"/>
        <item x="90"/>
        <item x="18"/>
        <item x="69"/>
        <item x="112"/>
        <item x="130"/>
        <item x="77"/>
        <item x="171"/>
        <item x="132"/>
        <item x="68"/>
        <item x="136"/>
        <item x="118"/>
        <item x="73"/>
        <item x="160"/>
        <item x="113"/>
        <item x="107"/>
        <item x="120"/>
        <item x="142"/>
        <item x="122"/>
        <item x="104"/>
        <item x="10"/>
        <item x="103"/>
        <item x="37"/>
        <item x="123"/>
        <item x="66"/>
        <item x="96"/>
        <item x="55"/>
        <item x="110"/>
        <item x="124"/>
        <item x="140"/>
        <item x="30"/>
        <item x="38"/>
        <item x="35"/>
        <item x="149"/>
        <item x="65"/>
        <item x="139"/>
        <item x="39"/>
        <item x="109"/>
        <item x="2"/>
        <item x="125"/>
        <item x="87"/>
        <item x="42"/>
        <item x="101"/>
        <item x="111"/>
        <item x="135"/>
        <item x="75"/>
        <item x="157"/>
        <item x="17"/>
        <item x="100"/>
        <item x="1"/>
        <item x="48"/>
        <item x="56"/>
        <item x="27"/>
        <item x="57"/>
        <item x="108"/>
        <item x="7"/>
        <item x="167"/>
        <item x="64"/>
        <item x="54"/>
        <item x="20"/>
        <item x="148"/>
        <item x="53"/>
        <item x="166"/>
        <item x="15"/>
        <item x="19"/>
        <item x="16"/>
        <item x="165"/>
        <item x="99"/>
        <item x="133"/>
        <item x="159"/>
        <item x="63"/>
        <item x="43"/>
        <item x="71"/>
        <item x="51"/>
        <item x="82"/>
        <item x="70"/>
        <item x="4"/>
        <item x="88"/>
        <item x="156"/>
        <item x="92"/>
        <item x="79"/>
        <item x="76"/>
        <item x="46"/>
        <item x="21"/>
        <item x="169"/>
        <item x="31"/>
        <item x="3"/>
        <item x="9"/>
        <item x="44"/>
        <item x="50"/>
        <item x="158"/>
        <item x="11"/>
        <item x="72"/>
        <item x="93"/>
        <item x="62"/>
        <item x="0"/>
        <item x="155"/>
        <item x="5"/>
        <item x="154"/>
        <item x="143"/>
        <item t="default"/>
      </items>
    </pivotField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_Spend" fld="6" baseField="0" baseItem="0"/>
    <dataField name="Average of Engagement_Rate" fld="5" subtotal="average" baseField="1" baseItem="0" numFmtId="10"/>
  </dataFields>
  <formats count="1">
    <format dxfId="4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2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036B44-00F3-4F79-93E4-AA8053058A10}" name="PivotTable10" cacheId="8" applyNumberFormats="0" applyBorderFormats="0" applyFontFormats="0" applyPatternFormats="0" applyAlignmentFormats="0" applyWidthHeightFormats="1" dataCaption="Values" updatedVersion="8" minRefreshableVersion="5" useAutoFormatting="1" itemPrintTitles="1" createdVersion="8" indent="0" outline="1" outlineData="1" multipleFieldFilters="0" chartFormat="5">
  <location ref="A12:E32" firstHeaderRow="1" firstDataRow="2" firstDataCol="1"/>
  <pivotFields count="8">
    <pivotField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70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 count="1">
    <field x="7"/>
  </rowFields>
  <rowItems count="19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New_Followers" fld="2" baseField="0" baseItem="0"/>
  </dataFields>
  <chartFormats count="3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74" name="Week_Start_Date">
      <autoFilter ref="A1">
        <filterColumn colId="0">
          <customFilters and="1">
            <customFilter operator="greaterThanOrEqual" val="45292"/>
            <customFilter operator="lessThanOrEqual" val="455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B072D3-4FAA-4F40-84FB-F45ABC57DA9E}" name="PivotTable9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8">
    <pivotField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axis="axisRow" showAll="0" sortType="descending">
      <items count="5">
        <item x="0"/>
        <item x="1"/>
        <item x="2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</pivotField>
  </pivotFields>
  <rowFields count="1">
    <field x="1"/>
  </rowFields>
  <rowItems count="5">
    <i>
      <x v="1"/>
    </i>
    <i>
      <x v="2"/>
    </i>
    <i>
      <x/>
    </i>
    <i>
      <x v="3"/>
    </i>
    <i t="grand">
      <x/>
    </i>
  </rowItems>
  <colItems count="1">
    <i/>
  </colItems>
  <dataFields count="1">
    <dataField name="Average of Engagement_Rate" fld="5" subtotal="average" baseField="1" baseItem="0" numFmtId="9"/>
  </dataFields>
  <formats count="2">
    <format dxfId="11">
      <pivotArea outline="0" collapsedLevelsAreSubtotals="1" fieldPosition="0"/>
    </format>
    <format dxfId="12">
      <pivotArea collapsedLevelsAreSubtotals="1" fieldPosition="0">
        <references count="1">
          <reference field="1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13418-E81F-491B-8B1F-3B54FF02750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F22" firstHeaderRow="1" firstDataRow="2" firstDataCol="1"/>
  <pivotFields count="14"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gagement rate" fld="11" subtotal="average" showDataAs="percentOfTotal" baseField="1" baseItem="0" numFmtId="10"/>
  </dataFields>
  <conditionalFormats count="1"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1" count="3" selected="0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E2CB3-E7F6-44C3-80B1-AC31AAB76B5F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3" firstHeaderRow="0" firstDataRow="1" firstDataCol="1"/>
  <pivotFields count="1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10">
        <item x="0"/>
        <item x="6"/>
        <item x="7"/>
        <item x="1"/>
        <item x="5"/>
        <item x="4"/>
        <item x="2"/>
        <item x="3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2"/>
  </rowFields>
  <rowItems count="10">
    <i>
      <x v="5"/>
    </i>
    <i>
      <x v="7"/>
    </i>
    <i>
      <x v="1"/>
    </i>
    <i>
      <x v="3"/>
    </i>
    <i>
      <x/>
    </i>
    <i>
      <x v="4"/>
    </i>
    <i>
      <x v="2"/>
    </i>
    <i>
      <x v="6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Post ID" fld="0" subtotal="count" baseField="0" baseItem="0"/>
    <dataField name="Average of Engagement rate" fld="11" subtotal="average" showDataAs="percentOfCol" baseField="12" baseItem="1" numFmtId="10"/>
  </dataFields>
  <formats count="4"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fieldPosition="0">
        <references count="1">
          <reference field="12" count="1">
            <x v="5"/>
          </reference>
        </references>
      </pivotArea>
    </format>
    <format dxfId="2">
      <pivotArea dataOnly="0" labelOnly="1" fieldPosition="0">
        <references count="1">
          <reference field="12" count="1">
            <x v="5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26B381-C79B-4D0B-92F8-4ADA3994EDA4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0:G25" firstHeaderRow="0" firstDataRow="1" firstDataCol="1"/>
  <pivotFields count="17">
    <pivotField showAll="0"/>
    <pivotField showAll="0"/>
    <pivotField numFmtId="14" showAll="0">
      <items count="236">
        <item x="220"/>
        <item x="182"/>
        <item x="136"/>
        <item x="12"/>
        <item x="33"/>
        <item x="19"/>
        <item x="213"/>
        <item x="223"/>
        <item x="54"/>
        <item x="204"/>
        <item x="186"/>
        <item x="172"/>
        <item x="25"/>
        <item x="35"/>
        <item x="32"/>
        <item x="65"/>
        <item x="131"/>
        <item x="140"/>
        <item x="139"/>
        <item x="228"/>
        <item x="62"/>
        <item x="10"/>
        <item x="110"/>
        <item x="146"/>
        <item x="80"/>
        <item x="211"/>
        <item x="117"/>
        <item x="67"/>
        <item x="24"/>
        <item x="217"/>
        <item x="3"/>
        <item x="218"/>
        <item x="178"/>
        <item x="177"/>
        <item x="232"/>
        <item x="126"/>
        <item x="51"/>
        <item x="145"/>
        <item x="224"/>
        <item x="76"/>
        <item x="18"/>
        <item x="221"/>
        <item x="123"/>
        <item x="43"/>
        <item x="1"/>
        <item x="150"/>
        <item x="200"/>
        <item x="15"/>
        <item x="47"/>
        <item x="99"/>
        <item x="173"/>
        <item x="121"/>
        <item x="83"/>
        <item x="6"/>
        <item x="92"/>
        <item x="164"/>
        <item x="102"/>
        <item x="160"/>
        <item x="194"/>
        <item x="31"/>
        <item x="219"/>
        <item x="91"/>
        <item x="180"/>
        <item x="171"/>
        <item x="17"/>
        <item x="155"/>
        <item x="48"/>
        <item x="208"/>
        <item x="215"/>
        <item x="93"/>
        <item x="2"/>
        <item x="231"/>
        <item x="214"/>
        <item x="192"/>
        <item x="36"/>
        <item x="64"/>
        <item x="233"/>
        <item x="84"/>
        <item x="28"/>
        <item x="137"/>
        <item x="124"/>
        <item x="4"/>
        <item x="16"/>
        <item x="207"/>
        <item x="195"/>
        <item x="191"/>
        <item x="9"/>
        <item x="115"/>
        <item x="13"/>
        <item x="198"/>
        <item x="225"/>
        <item x="26"/>
        <item x="175"/>
        <item x="52"/>
        <item x="106"/>
        <item x="74"/>
        <item x="212"/>
        <item x="14"/>
        <item x="149"/>
        <item x="85"/>
        <item x="107"/>
        <item x="197"/>
        <item x="22"/>
        <item x="81"/>
        <item x="71"/>
        <item x="152"/>
        <item x="227"/>
        <item x="167"/>
        <item x="8"/>
        <item x="69"/>
        <item x="114"/>
        <item x="141"/>
        <item x="196"/>
        <item x="132"/>
        <item x="193"/>
        <item x="111"/>
        <item x="39"/>
        <item x="118"/>
        <item x="226"/>
        <item x="184"/>
        <item x="56"/>
        <item x="79"/>
        <item x="59"/>
        <item x="216"/>
        <item x="20"/>
        <item x="109"/>
        <item x="202"/>
        <item x="108"/>
        <item x="5"/>
        <item x="130"/>
        <item x="156"/>
        <item x="73"/>
        <item x="168"/>
        <item x="116"/>
        <item x="78"/>
        <item x="77"/>
        <item x="50"/>
        <item x="176"/>
        <item x="122"/>
        <item x="75"/>
        <item x="40"/>
        <item x="112"/>
        <item x="46"/>
        <item x="7"/>
        <item x="185"/>
        <item x="94"/>
        <item x="210"/>
        <item x="135"/>
        <item x="88"/>
        <item x="90"/>
        <item x="55"/>
        <item x="63"/>
        <item x="205"/>
        <item x="153"/>
        <item x="170"/>
        <item x="159"/>
        <item x="70"/>
        <item x="148"/>
        <item x="86"/>
        <item x="162"/>
        <item x="127"/>
        <item x="96"/>
        <item x="45"/>
        <item x="103"/>
        <item x="97"/>
        <item x="61"/>
        <item x="27"/>
        <item x="60"/>
        <item x="125"/>
        <item x="30"/>
        <item x="209"/>
        <item x="179"/>
        <item x="157"/>
        <item x="169"/>
        <item x="142"/>
        <item x="44"/>
        <item x="82"/>
        <item x="0"/>
        <item x="133"/>
        <item x="143"/>
        <item x="187"/>
        <item x="100"/>
        <item x="113"/>
        <item x="174"/>
        <item x="144"/>
        <item x="230"/>
        <item x="41"/>
        <item x="134"/>
        <item x="11"/>
        <item x="21"/>
        <item x="158"/>
        <item x="120"/>
        <item x="163"/>
        <item x="34"/>
        <item x="189"/>
        <item x="66"/>
        <item x="190"/>
        <item x="49"/>
        <item x="58"/>
        <item x="206"/>
        <item x="38"/>
        <item x="29"/>
        <item x="57"/>
        <item x="234"/>
        <item x="101"/>
        <item x="95"/>
        <item x="23"/>
        <item x="147"/>
        <item x="199"/>
        <item x="87"/>
        <item x="222"/>
        <item x="165"/>
        <item x="203"/>
        <item x="68"/>
        <item x="119"/>
        <item x="229"/>
        <item x="37"/>
        <item x="42"/>
        <item x="166"/>
        <item x="104"/>
        <item x="181"/>
        <item x="128"/>
        <item x="53"/>
        <item x="72"/>
        <item x="98"/>
        <item x="188"/>
        <item x="89"/>
        <item x="105"/>
        <item x="161"/>
        <item x="201"/>
        <item x="129"/>
        <item x="154"/>
        <item x="151"/>
        <item x="138"/>
        <item x="18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numFmtId="10"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8" baseField="13" baseItem="0"/>
    <dataField name="Sum of Likes" fld="5" baseField="0" baseItem="0"/>
    <dataField name="Sum of Clicks" fld="10" baseField="0" baseItem="0"/>
    <dataField name="Average of Impressions" fld="8" subtotal="average" baseField="13" baseItem="0"/>
    <dataField name="Average of Likes" fld="5" subtotal="average" baseField="13" baseItem="0"/>
    <dataField name="Average of Clicks" fld="10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6D7A3C-349D-4E88-B512-9D736BF9E0EC}" name="PivotTable3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8" firstHeaderRow="0" firstDataRow="1" firstDataCol="1"/>
  <pivotFields count="17">
    <pivotField showAll="0"/>
    <pivotField showAll="0"/>
    <pivotField numFmtId="14" showAll="0">
      <items count="236">
        <item x="220"/>
        <item x="182"/>
        <item x="136"/>
        <item x="12"/>
        <item x="33"/>
        <item x="19"/>
        <item x="213"/>
        <item x="223"/>
        <item x="54"/>
        <item x="204"/>
        <item x="186"/>
        <item x="172"/>
        <item x="25"/>
        <item x="35"/>
        <item x="32"/>
        <item x="65"/>
        <item x="131"/>
        <item x="140"/>
        <item x="139"/>
        <item x="228"/>
        <item x="62"/>
        <item x="10"/>
        <item x="110"/>
        <item x="146"/>
        <item x="80"/>
        <item x="211"/>
        <item x="117"/>
        <item x="67"/>
        <item x="24"/>
        <item x="217"/>
        <item x="3"/>
        <item x="218"/>
        <item x="178"/>
        <item x="177"/>
        <item x="232"/>
        <item x="126"/>
        <item x="51"/>
        <item x="145"/>
        <item x="224"/>
        <item x="76"/>
        <item x="18"/>
        <item x="221"/>
        <item x="123"/>
        <item x="43"/>
        <item x="1"/>
        <item x="150"/>
        <item x="200"/>
        <item x="15"/>
        <item x="47"/>
        <item x="99"/>
        <item x="173"/>
        <item x="121"/>
        <item x="83"/>
        <item x="6"/>
        <item x="92"/>
        <item x="164"/>
        <item x="102"/>
        <item x="160"/>
        <item x="194"/>
        <item x="31"/>
        <item x="219"/>
        <item x="91"/>
        <item x="180"/>
        <item x="171"/>
        <item x="17"/>
        <item x="155"/>
        <item x="48"/>
        <item x="208"/>
        <item x="215"/>
        <item x="93"/>
        <item x="2"/>
        <item x="231"/>
        <item x="214"/>
        <item x="192"/>
        <item x="36"/>
        <item x="64"/>
        <item x="233"/>
        <item x="84"/>
        <item x="28"/>
        <item x="137"/>
        <item x="124"/>
        <item x="4"/>
        <item x="16"/>
        <item x="207"/>
        <item x="195"/>
        <item x="191"/>
        <item x="9"/>
        <item x="115"/>
        <item x="13"/>
        <item x="198"/>
        <item x="225"/>
        <item x="26"/>
        <item x="175"/>
        <item x="52"/>
        <item x="106"/>
        <item x="74"/>
        <item x="212"/>
        <item x="14"/>
        <item x="149"/>
        <item x="85"/>
        <item x="107"/>
        <item x="197"/>
        <item x="22"/>
        <item x="81"/>
        <item x="71"/>
        <item x="152"/>
        <item x="227"/>
        <item x="167"/>
        <item x="8"/>
        <item x="69"/>
        <item x="114"/>
        <item x="141"/>
        <item x="196"/>
        <item x="132"/>
        <item x="193"/>
        <item x="111"/>
        <item x="39"/>
        <item x="118"/>
        <item x="226"/>
        <item x="184"/>
        <item x="56"/>
        <item x="79"/>
        <item x="59"/>
        <item x="216"/>
        <item x="20"/>
        <item x="109"/>
        <item x="202"/>
        <item x="108"/>
        <item x="5"/>
        <item x="130"/>
        <item x="156"/>
        <item x="73"/>
        <item x="168"/>
        <item x="116"/>
        <item x="78"/>
        <item x="77"/>
        <item x="50"/>
        <item x="176"/>
        <item x="122"/>
        <item x="75"/>
        <item x="40"/>
        <item x="112"/>
        <item x="46"/>
        <item x="7"/>
        <item x="185"/>
        <item x="94"/>
        <item x="210"/>
        <item x="135"/>
        <item x="88"/>
        <item x="90"/>
        <item x="55"/>
        <item x="63"/>
        <item x="205"/>
        <item x="153"/>
        <item x="170"/>
        <item x="159"/>
        <item x="70"/>
        <item x="148"/>
        <item x="86"/>
        <item x="162"/>
        <item x="127"/>
        <item x="96"/>
        <item x="45"/>
        <item x="103"/>
        <item x="97"/>
        <item x="61"/>
        <item x="27"/>
        <item x="60"/>
        <item x="125"/>
        <item x="30"/>
        <item x="209"/>
        <item x="179"/>
        <item x="157"/>
        <item x="169"/>
        <item x="142"/>
        <item x="44"/>
        <item x="82"/>
        <item x="0"/>
        <item x="133"/>
        <item x="143"/>
        <item x="187"/>
        <item x="100"/>
        <item x="113"/>
        <item x="174"/>
        <item x="144"/>
        <item x="230"/>
        <item x="41"/>
        <item x="134"/>
        <item x="11"/>
        <item x="21"/>
        <item x="158"/>
        <item x="120"/>
        <item x="163"/>
        <item x="34"/>
        <item x="189"/>
        <item x="66"/>
        <item x="190"/>
        <item x="49"/>
        <item x="58"/>
        <item x="206"/>
        <item x="38"/>
        <item x="29"/>
        <item x="57"/>
        <item x="234"/>
        <item x="101"/>
        <item x="95"/>
        <item x="23"/>
        <item x="147"/>
        <item x="199"/>
        <item x="87"/>
        <item x="222"/>
        <item x="165"/>
        <item x="203"/>
        <item x="68"/>
        <item x="119"/>
        <item x="229"/>
        <item x="37"/>
        <item x="42"/>
        <item x="166"/>
        <item x="104"/>
        <item x="181"/>
        <item x="128"/>
        <item x="53"/>
        <item x="72"/>
        <item x="98"/>
        <item x="188"/>
        <item x="89"/>
        <item x="105"/>
        <item x="161"/>
        <item x="201"/>
        <item x="129"/>
        <item x="154"/>
        <item x="151"/>
        <item x="138"/>
        <item x="183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numFmtId="10"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Impressions" fld="8" baseField="13" baseItem="0"/>
    <dataField name="Sum of Likes" fld="5" baseField="0" baseItem="0"/>
    <dataField name="Sum of Clicks" fld="10" baseField="0" baseItem="0"/>
    <dataField name="Average of Impressions" fld="8" subtotal="average" baseField="13" baseItem="0"/>
    <dataField name="Average of Likes" fld="5" subtotal="average" baseField="13" baseItem="0"/>
    <dataField name="Average of Clicks" fld="10" subtotal="average" baseField="1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08EAD8-C4E3-4B7C-A249-B8EB5DF67886}" name="PivotTable7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weeks">
  <location ref="A3:B72" firstHeaderRow="1" firstDataRow="1" firstDataCol="1"/>
  <pivotFields count="11">
    <pivotField showAll="0">
      <items count="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7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69">
    <i>
      <x v="23"/>
    </i>
    <i>
      <x v="51"/>
    </i>
    <i>
      <x v="1"/>
    </i>
    <i>
      <x v="45"/>
    </i>
    <i>
      <x v="61"/>
    </i>
    <i>
      <x v="46"/>
    </i>
    <i>
      <x v="3"/>
    </i>
    <i>
      <x v="6"/>
    </i>
    <i>
      <x v="18"/>
    </i>
    <i>
      <x v="11"/>
    </i>
    <i>
      <x v="52"/>
    </i>
    <i>
      <x v="24"/>
    </i>
    <i>
      <x v="21"/>
    </i>
    <i>
      <x v="17"/>
    </i>
    <i>
      <x v="44"/>
    </i>
    <i>
      <x v="2"/>
    </i>
    <i>
      <x v="40"/>
    </i>
    <i>
      <x v="60"/>
    </i>
    <i>
      <x v="10"/>
    </i>
    <i>
      <x v="29"/>
    </i>
    <i>
      <x v="43"/>
    </i>
    <i>
      <x v="20"/>
    </i>
    <i>
      <x v="58"/>
    </i>
    <i>
      <x v="59"/>
    </i>
    <i>
      <x v="65"/>
    </i>
    <i>
      <x v="15"/>
    </i>
    <i>
      <x v="30"/>
    </i>
    <i>
      <x v="14"/>
    </i>
    <i>
      <x v="32"/>
    </i>
    <i>
      <x v="13"/>
    </i>
    <i>
      <x v="4"/>
    </i>
    <i>
      <x v="5"/>
    </i>
    <i>
      <x v="27"/>
    </i>
    <i>
      <x v="48"/>
    </i>
    <i>
      <x v="7"/>
    </i>
    <i>
      <x v="37"/>
    </i>
    <i>
      <x v="63"/>
    </i>
    <i>
      <x v="33"/>
    </i>
    <i>
      <x v="19"/>
    </i>
    <i>
      <x v="31"/>
    </i>
    <i>
      <x v="41"/>
    </i>
    <i>
      <x v="57"/>
    </i>
    <i>
      <x v="12"/>
    </i>
    <i>
      <x v="26"/>
    </i>
    <i>
      <x v="8"/>
    </i>
    <i>
      <x v="54"/>
    </i>
    <i>
      <x v="42"/>
    </i>
    <i>
      <x v="22"/>
    </i>
    <i>
      <x v="16"/>
    </i>
    <i>
      <x v="9"/>
    </i>
    <i>
      <x v="49"/>
    </i>
    <i>
      <x v="53"/>
    </i>
    <i>
      <x v="55"/>
    </i>
    <i>
      <x v="25"/>
    </i>
    <i>
      <x v="35"/>
    </i>
    <i>
      <x v="34"/>
    </i>
    <i>
      <x v="64"/>
    </i>
    <i>
      <x v="47"/>
    </i>
    <i>
      <x v="39"/>
    </i>
    <i>
      <x v="62"/>
    </i>
    <i>
      <x v="36"/>
    </i>
    <i>
      <x v="38"/>
    </i>
    <i>
      <x v="67"/>
    </i>
    <i>
      <x v="66"/>
    </i>
    <i>
      <x v="50"/>
    </i>
    <i>
      <x v="28"/>
    </i>
    <i>
      <x v="56"/>
    </i>
    <i>
      <x/>
    </i>
    <i t="grand">
      <x/>
    </i>
  </rowItems>
  <colItems count="1">
    <i/>
  </colItems>
  <dataFields count="1">
    <dataField name="Sum of Follower gain" fld="7" baseField="0" baseItem="0"/>
  </dataFields>
  <formats count="1">
    <format dxfId="4">
      <pivotArea dataOnly="0" fieldPosition="0">
        <references count="1">
          <reference field="10" count="1"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0" xr16:uid="{DD1B6916-F92F-4240-AD62-A60631A88F1C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Campaign_Nam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11" xr16:uid="{34978381-754B-4B4C-892A-634A8FD92581}" autoFormatId="16" applyNumberFormats="0" applyBorderFormats="0" applyFontFormats="0" applyPatternFormats="0" applyAlignmentFormats="0" applyWidthHeightFormats="0">
  <queryTableRefresh nextId="16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Engagement Rate" tableColumnId="12"/>
      <queryTableField id="13" name="Hashtags Used.1" tableColumnId="13"/>
      <queryTableField id="14" name="Hashtags Used.2" tableColumnId="14"/>
      <queryTableField id="15" name="Campaign_Name" tableColumnId="1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2" xr16:uid="{AA5DDA0D-B5A1-4AF2-A0A9-76CF26A8E81D}" autoFormatId="16" applyNumberFormats="0" applyBorderFormats="0" applyFontFormats="0" applyPatternFormats="0" applyAlignmentFormats="0" applyWidthHeightFormats="0">
  <queryTableRefresh nextId="16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Engagement Rate" tableColumnId="12"/>
      <queryTableField id="13" name="Hashtags Used.1" tableColumnId="13"/>
      <queryTableField id="14" name="Hashtags Used.2" tableColumnId="14"/>
      <queryTableField id="15" name="Campaign_Name" tableColumnId="1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backgroundRefresh="0" connectionId="1" xr16:uid="{BB36C913-6DCA-455B-BCCD-12BA4B68F4F4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Engagement rate" tableColumnId="12"/>
      <queryTableField id="13" name="Hashtags Used" tableColumnId="13"/>
      <queryTableField id="14" name="Campaign_Name" tableColumnId="14"/>
    </queryTableFields>
  </queryTableRefresh>
  <extLst>
    <ext xmlns:x15="http://schemas.microsoft.com/office/spreadsheetml/2010/11/main" uri="{883FBD77-0823-4a55-B5E3-86C4891E6966}">
      <x15:queryTable sourceDataName="Query - task 2 unsplit dataset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6815E008-99EA-4904-8BE8-CEC2DE1A756B}" autoFormatId="16" applyNumberFormats="0" applyBorderFormats="0" applyFontFormats="0" applyPatternFormats="0" applyAlignmentFormats="0" applyWidthHeightFormats="0">
  <queryTableRefresh nextId="12" unboundColumnsRight="3">
    <queryTableFields count="6">
      <queryTableField id="1" name="Campaign_Name" tableColumnId="1"/>
      <queryTableField id="2" name="Start_Date" tableColumnId="2"/>
      <queryTableField id="3" name="End_Date" tableColumnId="3"/>
      <queryTableField id="8" dataBound="0" tableColumnId="9"/>
      <queryTableField id="9" dataBound="0" tableColumnId="13"/>
      <queryTableField id="10" dataBound="0" tableColumnId="14"/>
    </queryTableFields>
    <queryTableDeletedFields count="4">
      <deletedField name="Objective"/>
      <deletedField name="Total_Budget"/>
      <deletedField name="Target_Platforms"/>
      <deletedField name="Primary_Hashtags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8" xr16:uid="{BB39E608-772D-42F0-9193-1C06D544A85D}" autoFormatId="16" applyNumberFormats="0" applyBorderFormats="0" applyFontFormats="0" applyPatternFormats="0" applyAlignmentFormats="0" applyWidthHeightFormats="0">
  <queryTableRefresh nextId="11">
    <queryTableFields count="9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8" dataBound="0" tableColumnId="8"/>
      <queryTableField id="9" dataBound="0" tableColumnId="9"/>
      <queryTableField id="6" name="Engagement_Rate" tableColumnId="6"/>
      <queryTableField id="7" name="Ad_Spend" tableColumnId="7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3488B434-FD94-4195-AE06-024655D80864}" autoFormatId="16" applyNumberFormats="0" applyBorderFormats="0" applyFontFormats="0" applyPatternFormats="0" applyAlignmentFormats="0" applyWidthHeightFormats="0">
  <queryTableRefresh nextId="15" unboundColumnsRight="2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14" dataBound="0" tableColumnId="14"/>
      <queryTableField id="8" dataBound="0" tableColumnId="8"/>
    </queryTableFields>
    <queryTableDeletedFields count="2">
      <deletedField name="Engagement_Rate"/>
      <deletedField name="Ad_Spend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CEA8F9BE-872E-43A4-A7AE-274C50417951}" autoFormatId="16" applyNumberFormats="0" applyBorderFormats="0" applyFontFormats="0" applyPatternFormats="0" applyAlignmentFormats="0" applyWidthHeightFormats="0">
  <queryTableRefresh nextId="14">
    <queryTableFields count="13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C3E2AA4C-7D0A-46EF-9C8A-C1FE7A185B8A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CADF1A2-D3A5-4A17-BE39-989E4AFF5B21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Primary_Hashtag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2FB6A1C-D612-4E99-ADCD-0DF4F307A361}" name="task_1" displayName="task_1" ref="A1:N301" tableType="queryTable" totalsRowShown="0">
  <autoFilter ref="A1:N301" xr:uid="{52FB6A1C-D612-4E99-ADCD-0DF4F307A361}"/>
  <tableColumns count="14">
    <tableColumn id="1" xr3:uid="{D59F4F43-2CC4-4D65-AB42-A63E13C1AB4E}" uniqueName="1" name="Post ID" queryTableFieldId="1" dataDxfId="72"/>
    <tableColumn id="2" xr3:uid="{80A4797A-C66B-49F9-9C7B-3D8A9F496F59}" uniqueName="2" name="Platform" queryTableFieldId="2" dataDxfId="71"/>
    <tableColumn id="3" xr3:uid="{2ED8CB6E-EB32-41BA-98EB-61F4FD9FF3E3}" uniqueName="3" name="Date" queryTableFieldId="3" dataDxfId="70"/>
    <tableColumn id="4" xr3:uid="{C1366559-2F74-4BE2-85EE-AF53324389A4}" uniqueName="4" name="Content Type" queryTableFieldId="4" dataDxfId="69"/>
    <tableColumn id="5" xr3:uid="{C0587CC4-B512-48C3-8F6E-B7ABCC8C71A4}" uniqueName="5" name="Post Text" queryTableFieldId="5" dataDxfId="68"/>
    <tableColumn id="6" xr3:uid="{9C84108B-A970-4BAA-8403-B40086A069B8}" uniqueName="6" name="Likes" queryTableFieldId="6"/>
    <tableColumn id="7" xr3:uid="{E59A3A33-A063-4B85-8C63-B6C9CAE8C269}" uniqueName="7" name="Shares" queryTableFieldId="7"/>
    <tableColumn id="8" xr3:uid="{88424C3C-5C81-4801-9667-E91E8CE1E77C}" uniqueName="8" name="Comments" queryTableFieldId="8"/>
    <tableColumn id="9" xr3:uid="{FC79401D-38F8-4B06-A8D7-695756FC20A9}" uniqueName="9" name="Impressions" queryTableFieldId="9"/>
    <tableColumn id="10" xr3:uid="{7300AF37-0F22-4DD4-B513-173A7B8C8955}" uniqueName="10" name="Reach" queryTableFieldId="10"/>
    <tableColumn id="11" xr3:uid="{766EB0D8-7787-48E1-95EC-2BF38B33163A}" uniqueName="11" name="Clicks" queryTableFieldId="11"/>
    <tableColumn id="12" xr3:uid="{71094937-2186-484A-98C9-F4ED7FB4B4AE}" uniqueName="12" name="Hashtags Used.1" queryTableFieldId="12" dataDxfId="67"/>
    <tableColumn id="13" xr3:uid="{89AF4B51-6DD6-46AF-8F99-429F871E92A6}" uniqueName="13" name="Hashtags Used.2" queryTableFieldId="13" dataDxfId="66"/>
    <tableColumn id="14" xr3:uid="{DDC529D0-F02D-48F9-B959-78D2279C7620}" uniqueName="14" name="Campaign_Name" queryTableFieldId="14" dataDxfId="6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84AE4B-E71E-4E16-A6A9-4DF6CC31BE08}" name="task_2_engagement_analysis" displayName="task_2_engagement_analysis" ref="A1:O301" tableType="queryTable" totalsRowShown="0">
  <autoFilter ref="A1:O301" xr:uid="{C284AE4B-E71E-4E16-A6A9-4DF6CC31BE08}"/>
  <tableColumns count="15">
    <tableColumn id="1" xr3:uid="{A32F87D3-AC26-407D-ADDA-F0A7F13603A4}" uniqueName="1" name="Post ID" queryTableFieldId="1" dataDxfId="64"/>
    <tableColumn id="2" xr3:uid="{C6AC3EA0-95E6-4E6E-B077-ED9A872ED13E}" uniqueName="2" name="Platform" queryTableFieldId="2" dataDxfId="63"/>
    <tableColumn id="3" xr3:uid="{18E0691A-58E8-4702-B3B8-1CE7B9B1D7EC}" uniqueName="3" name="Date" queryTableFieldId="3" dataDxfId="62"/>
    <tableColumn id="4" xr3:uid="{96A2BB3D-CDE4-4655-9982-8C91245825E8}" uniqueName="4" name="Content Type" queryTableFieldId="4" dataDxfId="61"/>
    <tableColumn id="5" xr3:uid="{D914D510-9B9D-40D1-B6F7-643490227995}" uniqueName="5" name="Post Text" queryTableFieldId="5" dataDxfId="60"/>
    <tableColumn id="6" xr3:uid="{B10001B9-7B86-479C-9896-88F1503C9A5B}" uniqueName="6" name="Likes" queryTableFieldId="6"/>
    <tableColumn id="7" xr3:uid="{56190116-D1A8-466B-822B-B06402D5C91F}" uniqueName="7" name="Shares" queryTableFieldId="7"/>
    <tableColumn id="8" xr3:uid="{2348AD10-5368-4F29-BCA8-10FAB2BEEB44}" uniqueName="8" name="Comments" queryTableFieldId="8"/>
    <tableColumn id="9" xr3:uid="{A7373CF8-EF8C-4519-90C6-54600B4F20F2}" uniqueName="9" name="Impressions" queryTableFieldId="9"/>
    <tableColumn id="10" xr3:uid="{EB73F4D9-1420-4B4A-A01E-6AF16802B57D}" uniqueName="10" name="Reach" queryTableFieldId="10"/>
    <tableColumn id="11" xr3:uid="{B2C8659D-2F3A-4B16-B21F-D3DC30B13BC1}" uniqueName="11" name="Clicks" queryTableFieldId="11"/>
    <tableColumn id="12" xr3:uid="{B005F084-31E1-4BC6-AE03-F8314FCE475D}" uniqueName="12" name="Engagement Rate" queryTableFieldId="12" dataDxfId="59"/>
    <tableColumn id="13" xr3:uid="{7E8953B3-345A-4233-8A81-BE49034BE09C}" uniqueName="13" name="Hashtags Used.1" queryTableFieldId="13" dataDxfId="58"/>
    <tableColumn id="14" xr3:uid="{410CCAD8-8160-4B34-9FD3-21D22D75E5EC}" uniqueName="14" name="Hashtags Used.2" queryTableFieldId="14" dataDxfId="57"/>
    <tableColumn id="15" xr3:uid="{80717CCF-34B0-4B84-8C4A-A9217FF7F2CC}" uniqueName="15" name="Campaign_Name" queryTableFieldId="15" dataDxfId="5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1B75929-FBCC-4E50-80BB-06743B15B4E0}" name="task_2_top_10_posts" displayName="task_2_top_10_posts" ref="A1:O11" tableType="queryTable" totalsRowShown="0">
  <autoFilter ref="A1:O11" xr:uid="{61B75929-FBCC-4E50-80BB-06743B15B4E0}"/>
  <tableColumns count="15">
    <tableColumn id="1" xr3:uid="{1850B6FE-085E-41FD-BCDD-587CBF4589A8}" uniqueName="1" name="Post ID" queryTableFieldId="1" dataDxfId="55"/>
    <tableColumn id="2" xr3:uid="{0525C8B9-E7BA-491E-A385-66AA6F2305D4}" uniqueName="2" name="Platform" queryTableFieldId="2" dataDxfId="54"/>
    <tableColumn id="3" xr3:uid="{1F5F7B8F-A0F0-4D8B-9168-EB4AA13AD87C}" uniqueName="3" name="Date" queryTableFieldId="3" dataDxfId="53"/>
    <tableColumn id="4" xr3:uid="{503B85E6-A391-483D-9879-C4DE57F81CEC}" uniqueName="4" name="Content Type" queryTableFieldId="4" dataDxfId="52"/>
    <tableColumn id="5" xr3:uid="{7515FEDC-3B57-4C96-A233-C9DA9006B3E4}" uniqueName="5" name="Post Text" queryTableFieldId="5" dataDxfId="51"/>
    <tableColumn id="6" xr3:uid="{C3335DBE-5314-4118-93A3-5B5A66A53DB6}" uniqueName="6" name="Likes" queryTableFieldId="6"/>
    <tableColumn id="7" xr3:uid="{DC75F455-ED07-4A1F-AC4A-7C0D5A4FB8C0}" uniqueName="7" name="Shares" queryTableFieldId="7"/>
    <tableColumn id="8" xr3:uid="{0EC1339F-3942-4B90-B24D-5CBA3CB0BB0B}" uniqueName="8" name="Comments" queryTableFieldId="8"/>
    <tableColumn id="9" xr3:uid="{74E54611-E8EF-4B30-B8FB-7BF2F1039A05}" uniqueName="9" name="Impressions" queryTableFieldId="9"/>
    <tableColumn id="10" xr3:uid="{ED260DCB-2A03-4260-9FB1-24E66DE22FB1}" uniqueName="10" name="Reach" queryTableFieldId="10"/>
    <tableColumn id="11" xr3:uid="{0B4ED2DD-182A-4D4A-B592-835F4B10003A}" uniqueName="11" name="Clicks" queryTableFieldId="11"/>
    <tableColumn id="12" xr3:uid="{70FDD26A-3535-4645-9E95-8D5C189900AC}" uniqueName="12" name="Engagement Rate" queryTableFieldId="12" dataDxfId="50"/>
    <tableColumn id="13" xr3:uid="{BD65C8FF-1036-44E5-A88D-DD4124752642}" uniqueName="13" name="Hashtags Used.1" queryTableFieldId="13" dataDxfId="49"/>
    <tableColumn id="14" xr3:uid="{673D971D-52A5-4182-8B5C-6316699F99D3}" uniqueName="14" name="Hashtags Used.2" queryTableFieldId="14" dataDxfId="48"/>
    <tableColumn id="15" xr3:uid="{CB738F15-D789-46C0-838B-238A530B664E}" uniqueName="15" name="Campaign_Name" queryTableFieldId="15" dataDxfId="4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767C6C0-7067-4FA5-A2BD-8B56F80F65D0}" name="task_2_unsplit_dataset" displayName="task_2_unsplit_dataset" ref="A1:N301" tableType="queryTable" totalsRowShown="0">
  <autoFilter ref="A1:N301" xr:uid="{9767C6C0-7067-4FA5-A2BD-8B56F80F65D0}"/>
  <tableColumns count="14">
    <tableColumn id="1" xr3:uid="{B97AE1BF-187A-4138-BDA5-F75F6D46FB6E}" uniqueName="1" name="Post ID" queryTableFieldId="1" dataDxfId="45"/>
    <tableColumn id="2" xr3:uid="{A5DCB1B1-A874-477A-A25A-C26B72108EF4}" uniqueName="2" name="Platform" queryTableFieldId="2" dataDxfId="44"/>
    <tableColumn id="3" xr3:uid="{F4638A7D-9D88-4E2E-BE84-39954A170C7F}" uniqueName="3" name="Date" queryTableFieldId="3" dataDxfId="10"/>
    <tableColumn id="4" xr3:uid="{0ED2F253-92B5-4F7D-A2AD-BA680923E315}" uniqueName="4" name="Content Type" queryTableFieldId="4" dataDxfId="43"/>
    <tableColumn id="5" xr3:uid="{07E10DC8-4532-4AED-8ED8-A06CE0FD8653}" uniqueName="5" name="Post Text" queryTableFieldId="5" dataDxfId="42"/>
    <tableColumn id="6" xr3:uid="{591A1845-8F92-4AC0-BCAB-34F3788CE1C6}" uniqueName="6" name="Likes" queryTableFieldId="6"/>
    <tableColumn id="7" xr3:uid="{2BFFA5C2-EF76-4874-9180-699D2C6287CF}" uniqueName="7" name="Shares" queryTableFieldId="7"/>
    <tableColumn id="8" xr3:uid="{83BD4115-39C2-427C-8519-65DA700CD8DA}" uniqueName="8" name="Comments" queryTableFieldId="8"/>
    <tableColumn id="9" xr3:uid="{AE98D530-9548-4131-ACD0-B576F13680AC}" uniqueName="9" name="Impressions" queryTableFieldId="9"/>
    <tableColumn id="10" xr3:uid="{663BE8C8-4FF1-4C9C-AD76-3515EF6B8178}" uniqueName="10" name="Reach" queryTableFieldId="10"/>
    <tableColumn id="11" xr3:uid="{B1D10ACD-3231-4765-975E-B7989040D668}" uniqueName="11" name="Clicks" queryTableFieldId="11"/>
    <tableColumn id="12" xr3:uid="{5A44F776-4CB6-48E7-9BC8-604721CEB5E0}" uniqueName="12" name="Engagement rate" queryTableFieldId="12" dataDxfId="9"/>
    <tableColumn id="13" xr3:uid="{3B82EDE7-F80E-41C3-89B6-565AAE841C82}" uniqueName="13" name="Hashtags Used" queryTableFieldId="13" dataDxfId="41"/>
    <tableColumn id="14" xr3:uid="{8303D398-8DC7-4014-8390-918328041D1E}" uniqueName="14" name="Campaign_Name" queryTableFieldId="14" dataDxfId="4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A3755F3-F725-42D4-8BF7-61576BB8FACB}" name="Campaign_Metadata10" displayName="Campaign_Metadata10" ref="A1:F5" tableType="queryTable" totalsRowShown="0">
  <autoFilter ref="A1:F5" xr:uid="{40043AB6-A48E-486D-8E6D-A2A7D2FDDCED}"/>
  <tableColumns count="6">
    <tableColumn id="1" xr3:uid="{FA1B2476-C3B7-4F84-A7B9-5D82AF5FC918}" uniqueName="1" name="Campaign_Name" queryTableFieldId="1" dataDxfId="39"/>
    <tableColumn id="2" xr3:uid="{CFF08E24-0CF1-40F3-AA23-FDE7DE6DB4AF}" uniqueName="2" name="Start_Date" queryTableFieldId="2" dataDxfId="38"/>
    <tableColumn id="3" xr3:uid="{183CB49B-CC7F-445D-957F-7A22B3D09D2B}" uniqueName="3" name="End_Date" queryTableFieldId="3" dataDxfId="37"/>
    <tableColumn id="9" xr3:uid="{C01A326E-49C8-4EBA-BD63-FE5B3B4B349D}" uniqueName="9" name="Before Campaign" queryTableFieldId="8" dataDxfId="36">
      <calculatedColumnFormula>AVERAGEIFS(task_2_unsplit_dataset[Engagement rate],task_2_unsplit_dataset[Date],"&lt;"&amp;Campaign_Metadata10[[#This Row],[Start_Date]])</calculatedColumnFormula>
    </tableColumn>
    <tableColumn id="13" xr3:uid="{29B0443F-C575-4231-8A38-781A487A76CF}" uniqueName="13" name="During Campaigh" queryTableFieldId="9" dataDxfId="6">
      <calculatedColumnFormula>AVERAGEIFS(task_2_unsplit_dataset[Engagement rate],task_2_unsplit_dataset[Date],"&gt;="&amp;Campaign_Metadata10[[#This Row],[Start_Date]],task_2_unsplit_dataset[Date],"&lt;="&amp;Campaign_Metadata10[[#This Row],[End_Date]])</calculatedColumnFormula>
    </tableColumn>
    <tableColumn id="14" xr3:uid="{88C87040-E17B-44B2-862C-5ADDDF5EC649}" uniqueName="14" name="Engagement uplift" queryTableFieldId="10" dataDxfId="5">
      <calculatedColumnFormula>(Campaign_Metadata10[[#This Row],[During Campaigh]]-Campaign_Metadata10[[#This Row],[Before Campaign]])/Campaign_Metadata10[[#This Row],[Before Campaign]]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27D6C11-4C9B-45D2-BBBA-D9D8382002CB}" name="Engagement_Summary15" displayName="Engagement_Summary15" ref="A1:I201" tableType="queryTable" totalsRowShown="0">
  <autoFilter ref="A1:I201" xr:uid="{2A2B4507-0F64-413B-AF34-FB8C6AFD3372}">
    <filterColumn colId="6">
      <top10 val="15" filterVal="0.56757990867579911"/>
    </filterColumn>
  </autoFilter>
  <sortState xmlns:xlrd2="http://schemas.microsoft.com/office/spreadsheetml/2017/richdata2" ref="A31:I196">
    <sortCondition descending="1" ref="G31:G201"/>
  </sortState>
  <tableColumns count="9">
    <tableColumn id="1" xr3:uid="{12C73B86-8829-4CA9-842A-8B4812324998}" uniqueName="1" name="Week_Start_Date" queryTableFieldId="1" dataDxfId="25"/>
    <tableColumn id="2" xr3:uid="{36AD8CCF-5C56-4DAE-B67B-02A092D97674}" uniqueName="2" name="Platform" queryTableFieldId="2" dataDxfId="24"/>
    <tableColumn id="3" xr3:uid="{B6996284-2417-4D2C-97FD-8518CCE52DBA}" uniqueName="3" name="New_Followers" queryTableFieldId="3"/>
    <tableColumn id="4" xr3:uid="{9226BDB2-5523-4F9D-9BB2-4895F13F6C6A}" uniqueName="4" name="Unfollows" queryTableFieldId="4"/>
    <tableColumn id="5" xr3:uid="{2F0B6E5A-260D-498E-AE60-3F9099781B01}" uniqueName="5" name="Total_Followers" queryTableFieldId="5"/>
    <tableColumn id="8" xr3:uid="{188BF065-C9EB-4557-A88C-4DA6C0195DD0}" uniqueName="8" name="Follower growth" queryTableFieldId="8" dataDxfId="23">
      <calculatedColumnFormula>Engagement_Summary15[[#This Row],[New_Followers]]-Engagement_Summary15[[#This Row],[Unfollows]]</calculatedColumnFormula>
    </tableColumn>
    <tableColumn id="9" xr3:uid="{4EF15F58-C08D-43CE-9E8C-4F785601049F}" uniqueName="9" name="ROI(engagement/adspend)" queryTableFieldId="9" dataCellStyle="Percent">
      <calculatedColumnFormula>(task_2_unsplit_dataset[[#This Row],[Likes]]+task_2_unsplit_dataset[[#This Row],[Shares]]+task_2_unsplit_dataset[[#This Row],[Comments]])/Engagement_Summary15[[#This Row],[Ad_Spend]]</calculatedColumnFormula>
    </tableColumn>
    <tableColumn id="6" xr3:uid="{C843D9DD-DB0C-4DE7-A6B0-D332643B61A7}" uniqueName="6" name="Engagement_Rate" queryTableFieldId="6"/>
    <tableColumn id="7" xr3:uid="{DA80CD6E-B651-40D3-9BDD-04B401E0B3F4}" uniqueName="7" name="Ad_Spend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5867C6-9B86-480B-8542-3CAB49D0F6C4}" name="Engagement_Summary13" displayName="Engagement_Summary13" ref="A1:G201" tableType="queryTable" totalsRowShown="0">
  <autoFilter ref="A1:G201" xr:uid="{2A2B4507-0F64-413B-AF34-FB8C6AFD3372}">
    <filterColumn colId="2">
      <top10 val="30" filterVal="1402"/>
    </filterColumn>
  </autoFilter>
  <sortState xmlns:xlrd2="http://schemas.microsoft.com/office/spreadsheetml/2017/richdata2" ref="A2:G201">
    <sortCondition ref="A1:A201"/>
  </sortState>
  <tableColumns count="7">
    <tableColumn id="1" xr3:uid="{4371F369-6E34-4355-9145-E96FC73FDA5E}" uniqueName="1" name="Week_Start_Date" queryTableFieldId="1" dataDxfId="35"/>
    <tableColumn id="2" xr3:uid="{88EC3249-26BE-4E77-92C9-EDA31A7DE12E}" uniqueName="2" name="Platform" queryTableFieldId="2" dataDxfId="34"/>
    <tableColumn id="3" xr3:uid="{7CC1DC32-045A-4C8C-9D97-25E88ACDA001}" uniqueName="3" name="New_Followers" queryTableFieldId="3"/>
    <tableColumn id="4" xr3:uid="{A6AFEF50-32EC-474A-AE69-55716EF3B7E1}" uniqueName="4" name="Unfollows" queryTableFieldId="4"/>
    <tableColumn id="5" xr3:uid="{5BA5DA84-4DF3-496D-97F7-F2CF1474825A}" uniqueName="5" name="Total_Followers" queryTableFieldId="5"/>
    <tableColumn id="14" xr3:uid="{B47C8162-ADFA-4EF4-AC63-71555728AD40}" uniqueName="14" name="Moving Avg" queryTableFieldId="14"/>
    <tableColumn id="8" xr3:uid="{61F256AB-EB8E-4E88-96C3-AD7D72EE1893}" uniqueName="8" name="Total engagement" queryTableFieldId="8" dataDxfId="33">
      <calculatedColumnFormula>task_2_unsplit_dataset[[#This Row],[Likes]]+task_2_unsplit_dataset[[#This Row],[Comments]]+task_2_unsplit_dataset[[#This Row],[Shares]]</calculatedColumnFormula>
    </tableColumn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780360-7C73-42A1-8979-B7A0C788B9BA}" name="Posts" displayName="Posts" ref="A1:M301" tableType="queryTable" totalsRowShown="0">
  <autoFilter ref="A1:M301" xr:uid="{74780360-7C73-42A1-8979-B7A0C788B9BA}"/>
  <tableColumns count="13">
    <tableColumn id="1" xr3:uid="{D2D0286B-913E-4ECA-9603-A4EFD88C829B}" uniqueName="1" name="Post ID" queryTableFieldId="1" dataDxfId="32"/>
    <tableColumn id="2" xr3:uid="{7B74D60B-927A-405E-944D-080676EE3180}" uniqueName="2" name="Platform" queryTableFieldId="2" dataDxfId="31"/>
    <tableColumn id="3" xr3:uid="{E4869F5A-ABF1-499B-9145-0D4666A55647}" uniqueName="3" name="Date" queryTableFieldId="3" dataDxfId="30"/>
    <tableColumn id="4" xr3:uid="{8F37047B-E2C1-4DF7-B425-9A7A373EECA6}" uniqueName="4" name="Content Type" queryTableFieldId="4" dataDxfId="29"/>
    <tableColumn id="5" xr3:uid="{2EDD3D87-61E1-4FF4-A841-9FAE2954829C}" uniqueName="5" name="Post Text" queryTableFieldId="5" dataDxfId="28"/>
    <tableColumn id="6" xr3:uid="{5D265036-22D4-4B7F-B267-570D9A198E4E}" uniqueName="6" name="Likes" queryTableFieldId="6"/>
    <tableColumn id="7" xr3:uid="{7B6FC7F8-81A0-49E1-8897-38215692A1DE}" uniqueName="7" name="Shares" queryTableFieldId="7"/>
    <tableColumn id="8" xr3:uid="{F90EB9A6-663F-4033-A802-608DECAD9F47}" uniqueName="8" name="Comments" queryTableFieldId="8"/>
    <tableColumn id="9" xr3:uid="{399E4399-5406-4F9E-87BC-926102809CDB}" uniqueName="9" name="Impressions" queryTableFieldId="9"/>
    <tableColumn id="10" xr3:uid="{2953A11D-0E73-47E8-8DCB-FBC8C767A5D4}" uniqueName="10" name="Reach" queryTableFieldId="10"/>
    <tableColumn id="11" xr3:uid="{3D6506CA-DDE9-4AE6-8949-CFBBC2EF9EDD}" uniqueName="11" name="Clicks" queryTableFieldId="11"/>
    <tableColumn id="12" xr3:uid="{E7E69EEF-FF8C-41FE-9AD0-E6EC5CE405F9}" uniqueName="12" name="Hashtags Used" queryTableFieldId="12" dataDxfId="27"/>
    <tableColumn id="13" xr3:uid="{7A15C63C-40CD-425B-8D8F-2962944FFC98}" uniqueName="13" name="Campaign_Name" queryTableFieldId="13" dataDxfId="2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2B4507-0F64-413B-AF34-FB8C6AFD3372}" name="Engagement_Summary" displayName="Engagement_Summary" ref="A1:G201" tableType="queryTable" totalsRowShown="0">
  <autoFilter ref="A1:G201" xr:uid="{2A2B4507-0F64-413B-AF34-FB8C6AFD3372}"/>
  <tableColumns count="7">
    <tableColumn id="1" xr3:uid="{5EA980A6-ABD9-4389-B276-14AC54A33A35}" uniqueName="1" name="Week_Start_Date" queryTableFieldId="1" dataDxfId="22"/>
    <tableColumn id="2" xr3:uid="{458FEF94-0CB5-42D4-9025-E33FD1203E6E}" uniqueName="2" name="Platform" queryTableFieldId="2" dataDxfId="21"/>
    <tableColumn id="3" xr3:uid="{5B00E41F-8932-4A10-A417-310BD574D428}" uniqueName="3" name="New_Followers" queryTableFieldId="3"/>
    <tableColumn id="4" xr3:uid="{2C8D0452-C93C-4F32-B652-9E28DA8FFDF5}" uniqueName="4" name="Unfollows" queryTableFieldId="4"/>
    <tableColumn id="5" xr3:uid="{D8F0FFF3-E11E-4178-B24F-72E19C650E63}" uniqueName="5" name="Total_Followers" queryTableFieldId="5"/>
    <tableColumn id="6" xr3:uid="{B6E728FC-A84C-47D6-A2E5-ED2EA425E1FF}" uniqueName="6" name="Engagement_Rate" queryTableFieldId="6"/>
    <tableColumn id="7" xr3:uid="{31C3CE1D-1341-4CA3-A118-CE1E6C18E19F}" uniqueName="7" name="Ad_Spend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043AB6-A48E-486D-8E6D-A2A7D2FDDCED}" name="Campaign_Metadata" displayName="Campaign_Metadata" ref="A1:G5" tableType="queryTable" totalsRowShown="0">
  <autoFilter ref="A1:G5" xr:uid="{40043AB6-A48E-486D-8E6D-A2A7D2FDDCED}"/>
  <tableColumns count="7">
    <tableColumn id="1" xr3:uid="{DF767D0B-2AAD-49EA-8893-5B48ADAD37CA}" uniqueName="1" name="Campaign_Name" queryTableFieldId="1" dataDxfId="20"/>
    <tableColumn id="2" xr3:uid="{5331EC74-BAFB-4EA3-B8DF-584ACFEEEFD4}" uniqueName="2" name="Start_Date" queryTableFieldId="2" dataDxfId="19"/>
    <tableColumn id="3" xr3:uid="{B46216ED-39C8-4938-AED9-07B3CF01B191}" uniqueName="3" name="End_Date" queryTableFieldId="3" dataDxfId="18"/>
    <tableColumn id="4" xr3:uid="{3364CD47-0A75-470D-90A0-E4471FE1962C}" uniqueName="4" name="Objective" queryTableFieldId="4" dataDxfId="17"/>
    <tableColumn id="5" xr3:uid="{7B721A05-BD47-496E-B01B-8D9EB9F12A65}" uniqueName="5" name="Total_Budget" queryTableFieldId="5"/>
    <tableColumn id="6" xr3:uid="{F05A2839-0B4A-4566-8BC9-B0DA6FCCB85D}" uniqueName="6" name="Target_Platforms" queryTableFieldId="6" dataDxfId="16"/>
    <tableColumn id="7" xr3:uid="{3451E0D1-72BD-425A-95C8-2831CDDEA24A}" uniqueName="7" name="Primary_Hashtags" queryTableFieldId="7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Week_Start_Date" xr10:uid="{D81A1BDB-11FE-45C8-932A-548BE1297854}" sourceName="Week_Start_Date">
  <pivotTables>
    <pivotTable tabId="17" name="PivotTable10"/>
  </pivotTables>
  <state minimalRefreshVersion="6" lastRefreshVersion="6" pivotCacheId="439319559" filterType="dateBetween">
    <selection startDate="2024-01-01T00:00:00" endDate="2024-09-30T00:00:00"/>
    <bounds startDate="2024-01-01T00:00:00" endDate="202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Week_Start_Date" xr10:uid="{642B05B4-DE51-449C-8675-5775F06C2918}" cache="NativeTimeline_Week_Start_Date" caption="Week_Start_Date" level="1" selectionLevel="1" scrollPosition="2024-01-01T00:00:00"/>
</timeline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Relationship Id="rId5" Type="http://schemas.microsoft.com/office/2011/relationships/timeline" Target="../timelines/timeline1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OIJYsCG_P0HA31tN8OX9AczIaxbQ-fzc/view?usp=shari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OIJYsCG_P0HA31tN8OX9AczIaxbQ-fzc/view?usp=sharing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20E36-0199-40B8-96F7-742AD5986AC9}">
  <dimension ref="A1:N301"/>
  <sheetViews>
    <sheetView workbookViewId="0">
      <selection sqref="A1:N301"/>
    </sheetView>
  </sheetViews>
  <sheetFormatPr defaultRowHeight="14.4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8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3" width="17.21875" bestFit="1" customWidth="1"/>
    <col min="14" max="14" width="17.77734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373</v>
      </c>
      <c r="M1" t="s">
        <v>374</v>
      </c>
      <c r="N1" t="s">
        <v>12</v>
      </c>
    </row>
    <row r="2" spans="1:14">
      <c r="A2" t="s">
        <v>13</v>
      </c>
      <c r="B2" t="s">
        <v>14</v>
      </c>
      <c r="C2" s="7">
        <v>45781</v>
      </c>
      <c r="D2" t="s">
        <v>15</v>
      </c>
      <c r="E2" t="s">
        <v>16</v>
      </c>
      <c r="F2">
        <v>2414</v>
      </c>
      <c r="G2">
        <v>245</v>
      </c>
      <c r="H2">
        <v>137</v>
      </c>
      <c r="I2">
        <v>21181</v>
      </c>
      <c r="J2">
        <v>45292</v>
      </c>
      <c r="K2">
        <v>133</v>
      </c>
      <c r="L2" t="s">
        <v>45</v>
      </c>
      <c r="M2" t="s">
        <v>42</v>
      </c>
      <c r="N2" t="s">
        <v>18</v>
      </c>
    </row>
    <row r="3" spans="1:14">
      <c r="A3" t="s">
        <v>19</v>
      </c>
      <c r="B3" t="s">
        <v>14</v>
      </c>
      <c r="C3" s="7">
        <v>45689</v>
      </c>
      <c r="D3" t="s">
        <v>15</v>
      </c>
      <c r="E3" t="s">
        <v>20</v>
      </c>
      <c r="F3">
        <v>1934</v>
      </c>
      <c r="G3">
        <v>210</v>
      </c>
      <c r="H3">
        <v>393</v>
      </c>
      <c r="I3">
        <v>29129</v>
      </c>
      <c r="J3">
        <v>73287</v>
      </c>
      <c r="K3">
        <v>273</v>
      </c>
      <c r="L3" t="s">
        <v>21</v>
      </c>
      <c r="M3" t="s">
        <v>375</v>
      </c>
      <c r="N3" t="s">
        <v>22</v>
      </c>
    </row>
    <row r="4" spans="1:14">
      <c r="A4" t="s">
        <v>23</v>
      </c>
      <c r="B4" t="s">
        <v>24</v>
      </c>
      <c r="C4" s="7">
        <v>45629</v>
      </c>
      <c r="D4" t="s">
        <v>25</v>
      </c>
      <c r="E4" t="s">
        <v>26</v>
      </c>
      <c r="F4">
        <v>3092</v>
      </c>
      <c r="G4">
        <v>177</v>
      </c>
      <c r="H4">
        <v>81</v>
      </c>
      <c r="I4">
        <v>47533</v>
      </c>
      <c r="J4">
        <v>29220</v>
      </c>
      <c r="K4">
        <v>121</v>
      </c>
      <c r="L4" t="s">
        <v>376</v>
      </c>
      <c r="M4" t="s">
        <v>42</v>
      </c>
      <c r="N4" t="s">
        <v>18</v>
      </c>
    </row>
    <row r="5" spans="1:14">
      <c r="A5" t="s">
        <v>28</v>
      </c>
      <c r="B5" t="s">
        <v>14</v>
      </c>
      <c r="C5" s="7">
        <v>45629</v>
      </c>
      <c r="D5" t="s">
        <v>15</v>
      </c>
      <c r="E5" t="s">
        <v>29</v>
      </c>
      <c r="F5">
        <v>3173</v>
      </c>
      <c r="G5">
        <v>229</v>
      </c>
      <c r="H5">
        <v>197</v>
      </c>
      <c r="I5">
        <v>29604</v>
      </c>
      <c r="J5">
        <v>21809</v>
      </c>
      <c r="K5">
        <v>272</v>
      </c>
      <c r="L5" t="s">
        <v>45</v>
      </c>
      <c r="M5" t="s">
        <v>42</v>
      </c>
      <c r="N5" t="s">
        <v>18</v>
      </c>
    </row>
    <row r="6" spans="1:14">
      <c r="A6" t="s">
        <v>30</v>
      </c>
      <c r="B6" t="s">
        <v>31</v>
      </c>
      <c r="C6" s="7">
        <v>45388</v>
      </c>
      <c r="D6" t="s">
        <v>15</v>
      </c>
      <c r="E6" t="s">
        <v>32</v>
      </c>
      <c r="F6">
        <v>2748</v>
      </c>
      <c r="G6">
        <v>145</v>
      </c>
      <c r="H6">
        <v>315</v>
      </c>
      <c r="I6">
        <v>24401</v>
      </c>
      <c r="J6">
        <v>61182</v>
      </c>
      <c r="K6">
        <v>200</v>
      </c>
      <c r="L6" t="s">
        <v>21</v>
      </c>
      <c r="M6" t="s">
        <v>377</v>
      </c>
      <c r="N6" t="s">
        <v>22</v>
      </c>
    </row>
    <row r="7" spans="1:14">
      <c r="A7" t="s">
        <v>34</v>
      </c>
      <c r="B7" t="s">
        <v>31</v>
      </c>
      <c r="C7" s="7">
        <v>45456</v>
      </c>
      <c r="D7" t="s">
        <v>15</v>
      </c>
      <c r="E7" t="s">
        <v>35</v>
      </c>
      <c r="F7">
        <v>3882</v>
      </c>
      <c r="G7">
        <v>239</v>
      </c>
      <c r="H7">
        <v>275</v>
      </c>
      <c r="I7">
        <v>58748</v>
      </c>
      <c r="J7">
        <v>44646</v>
      </c>
      <c r="K7">
        <v>149</v>
      </c>
      <c r="L7" t="s">
        <v>21</v>
      </c>
      <c r="M7" t="s">
        <v>377</v>
      </c>
      <c r="N7" t="s">
        <v>22</v>
      </c>
    </row>
    <row r="8" spans="1:14">
      <c r="A8" t="s">
        <v>36</v>
      </c>
      <c r="B8" t="s">
        <v>24</v>
      </c>
      <c r="C8" s="7">
        <v>45645</v>
      </c>
      <c r="D8" t="s">
        <v>25</v>
      </c>
      <c r="E8" t="s">
        <v>37</v>
      </c>
      <c r="F8">
        <v>4674</v>
      </c>
      <c r="G8">
        <v>409</v>
      </c>
      <c r="H8">
        <v>327</v>
      </c>
      <c r="I8">
        <v>20756</v>
      </c>
      <c r="J8">
        <v>63599</v>
      </c>
      <c r="K8">
        <v>212</v>
      </c>
      <c r="L8" t="s">
        <v>45</v>
      </c>
      <c r="M8" t="s">
        <v>42</v>
      </c>
      <c r="N8" t="s">
        <v>18</v>
      </c>
    </row>
    <row r="9" spans="1:14">
      <c r="A9" t="s">
        <v>38</v>
      </c>
      <c r="B9" t="s">
        <v>24</v>
      </c>
      <c r="C9" s="7">
        <v>45421</v>
      </c>
      <c r="D9" t="s">
        <v>25</v>
      </c>
      <c r="E9" t="s">
        <v>29</v>
      </c>
      <c r="F9">
        <v>1428</v>
      </c>
      <c r="G9">
        <v>347</v>
      </c>
      <c r="H9">
        <v>67</v>
      </c>
      <c r="I9">
        <v>21148</v>
      </c>
      <c r="J9">
        <v>19712</v>
      </c>
      <c r="K9">
        <v>120</v>
      </c>
      <c r="L9" t="s">
        <v>21</v>
      </c>
      <c r="M9" t="s">
        <v>376</v>
      </c>
      <c r="N9" t="s">
        <v>18</v>
      </c>
    </row>
    <row r="10" spans="1:14">
      <c r="A10" t="s">
        <v>40</v>
      </c>
      <c r="B10" t="s">
        <v>24</v>
      </c>
      <c r="C10" s="7">
        <v>45823</v>
      </c>
      <c r="D10" t="s">
        <v>15</v>
      </c>
      <c r="E10" t="s">
        <v>41</v>
      </c>
      <c r="F10">
        <v>4432</v>
      </c>
      <c r="G10">
        <v>223</v>
      </c>
      <c r="H10">
        <v>299</v>
      </c>
      <c r="I10">
        <v>59016</v>
      </c>
      <c r="J10">
        <v>21742</v>
      </c>
      <c r="K10">
        <v>171</v>
      </c>
      <c r="L10" t="s">
        <v>42</v>
      </c>
      <c r="M10" t="s">
        <v>375</v>
      </c>
      <c r="N10" t="s">
        <v>18</v>
      </c>
    </row>
    <row r="11" spans="1:14">
      <c r="A11" t="s">
        <v>43</v>
      </c>
      <c r="B11" t="s">
        <v>24</v>
      </c>
      <c r="C11" s="7">
        <v>45630</v>
      </c>
      <c r="D11" t="s">
        <v>15</v>
      </c>
      <c r="E11" t="s">
        <v>29</v>
      </c>
      <c r="F11">
        <v>2357</v>
      </c>
      <c r="G11">
        <v>274</v>
      </c>
      <c r="H11">
        <v>172</v>
      </c>
      <c r="I11">
        <v>21566</v>
      </c>
      <c r="J11">
        <v>66829</v>
      </c>
      <c r="K11">
        <v>284</v>
      </c>
      <c r="L11" t="s">
        <v>42</v>
      </c>
      <c r="M11" t="s">
        <v>375</v>
      </c>
      <c r="N11" t="s">
        <v>18</v>
      </c>
    </row>
    <row r="12" spans="1:14">
      <c r="A12" t="s">
        <v>44</v>
      </c>
      <c r="B12" t="s">
        <v>24</v>
      </c>
      <c r="C12" s="7">
        <v>45357</v>
      </c>
      <c r="D12" t="s">
        <v>15</v>
      </c>
      <c r="E12" t="s">
        <v>16</v>
      </c>
      <c r="F12">
        <v>1971</v>
      </c>
      <c r="G12">
        <v>370</v>
      </c>
      <c r="H12">
        <v>306</v>
      </c>
      <c r="I12">
        <v>31316</v>
      </c>
      <c r="J12">
        <v>27897</v>
      </c>
      <c r="K12">
        <v>88</v>
      </c>
      <c r="L12" t="s">
        <v>45</v>
      </c>
      <c r="M12" t="s">
        <v>375</v>
      </c>
      <c r="N12" t="s">
        <v>22</v>
      </c>
    </row>
    <row r="13" spans="1:14">
      <c r="A13" t="s">
        <v>46</v>
      </c>
      <c r="B13" t="s">
        <v>14</v>
      </c>
      <c r="C13" s="7">
        <v>45426</v>
      </c>
      <c r="D13" t="s">
        <v>15</v>
      </c>
      <c r="E13" t="s">
        <v>16</v>
      </c>
      <c r="F13">
        <v>1485</v>
      </c>
      <c r="G13">
        <v>353</v>
      </c>
      <c r="H13">
        <v>244</v>
      </c>
      <c r="I13">
        <v>38419</v>
      </c>
      <c r="J13">
        <v>38556</v>
      </c>
      <c r="K13">
        <v>86</v>
      </c>
      <c r="L13" t="s">
        <v>45</v>
      </c>
      <c r="M13" t="s">
        <v>42</v>
      </c>
      <c r="N13" t="s">
        <v>18</v>
      </c>
    </row>
    <row r="14" spans="1:14">
      <c r="A14" t="s">
        <v>47</v>
      </c>
      <c r="B14" t="s">
        <v>24</v>
      </c>
      <c r="C14" s="7">
        <v>45826</v>
      </c>
      <c r="D14" t="s">
        <v>25</v>
      </c>
      <c r="E14" t="s">
        <v>16</v>
      </c>
      <c r="F14">
        <v>3956</v>
      </c>
      <c r="G14">
        <v>319</v>
      </c>
      <c r="H14">
        <v>61</v>
      </c>
      <c r="I14">
        <v>58162</v>
      </c>
      <c r="J14">
        <v>28720</v>
      </c>
      <c r="K14">
        <v>213</v>
      </c>
      <c r="L14" t="s">
        <v>376</v>
      </c>
      <c r="M14" t="s">
        <v>42</v>
      </c>
      <c r="N14" t="s">
        <v>18</v>
      </c>
    </row>
    <row r="15" spans="1:14">
      <c r="A15" t="s">
        <v>48</v>
      </c>
      <c r="B15" t="s">
        <v>24</v>
      </c>
      <c r="C15" s="7">
        <v>45573</v>
      </c>
      <c r="D15" t="s">
        <v>15</v>
      </c>
      <c r="E15" t="s">
        <v>49</v>
      </c>
      <c r="F15">
        <v>2460</v>
      </c>
      <c r="G15">
        <v>409</v>
      </c>
      <c r="H15">
        <v>253</v>
      </c>
      <c r="I15">
        <v>36702</v>
      </c>
      <c r="J15">
        <v>46122</v>
      </c>
      <c r="K15">
        <v>264</v>
      </c>
      <c r="L15" t="s">
        <v>42</v>
      </c>
      <c r="M15" t="s">
        <v>375</v>
      </c>
      <c r="N15" t="s">
        <v>18</v>
      </c>
    </row>
    <row r="16" spans="1:14">
      <c r="A16" t="s">
        <v>50</v>
      </c>
      <c r="B16" t="s">
        <v>24</v>
      </c>
      <c r="C16" s="7">
        <v>45418</v>
      </c>
      <c r="D16" t="s">
        <v>15</v>
      </c>
      <c r="E16" t="s">
        <v>51</v>
      </c>
      <c r="F16">
        <v>3476</v>
      </c>
      <c r="G16">
        <v>355</v>
      </c>
      <c r="H16">
        <v>396</v>
      </c>
      <c r="I16">
        <v>37492</v>
      </c>
      <c r="J16">
        <v>27285</v>
      </c>
      <c r="K16">
        <v>179</v>
      </c>
      <c r="L16" t="s">
        <v>42</v>
      </c>
      <c r="M16" t="s">
        <v>375</v>
      </c>
      <c r="N16" t="s">
        <v>18</v>
      </c>
    </row>
    <row r="17" spans="1:14">
      <c r="A17" t="s">
        <v>52</v>
      </c>
      <c r="B17" t="s">
        <v>24</v>
      </c>
      <c r="C17" s="7">
        <v>45655</v>
      </c>
      <c r="D17" t="s">
        <v>25</v>
      </c>
      <c r="E17" t="s">
        <v>26</v>
      </c>
      <c r="F17">
        <v>4049</v>
      </c>
      <c r="G17">
        <v>377</v>
      </c>
      <c r="H17">
        <v>94</v>
      </c>
      <c r="I17">
        <v>48182</v>
      </c>
      <c r="J17">
        <v>42875</v>
      </c>
      <c r="K17">
        <v>172</v>
      </c>
      <c r="L17" t="s">
        <v>376</v>
      </c>
      <c r="M17" t="s">
        <v>42</v>
      </c>
      <c r="N17" t="s">
        <v>18</v>
      </c>
    </row>
    <row r="18" spans="1:14">
      <c r="A18" t="s">
        <v>53</v>
      </c>
      <c r="B18" t="s">
        <v>24</v>
      </c>
      <c r="C18" s="7">
        <v>45453</v>
      </c>
      <c r="D18" t="s">
        <v>15</v>
      </c>
      <c r="E18" t="s">
        <v>35</v>
      </c>
      <c r="F18">
        <v>1514</v>
      </c>
      <c r="G18">
        <v>164</v>
      </c>
      <c r="H18">
        <v>275</v>
      </c>
      <c r="I18">
        <v>41364</v>
      </c>
      <c r="J18">
        <v>44389</v>
      </c>
      <c r="K18">
        <v>83</v>
      </c>
      <c r="L18" t="s">
        <v>42</v>
      </c>
      <c r="M18" t="s">
        <v>375</v>
      </c>
      <c r="N18" t="s">
        <v>18</v>
      </c>
    </row>
    <row r="19" spans="1:14">
      <c r="A19" t="s">
        <v>54</v>
      </c>
      <c r="B19" t="s">
        <v>14</v>
      </c>
      <c r="C19" s="7">
        <v>45325</v>
      </c>
      <c r="D19" t="s">
        <v>25</v>
      </c>
      <c r="E19" t="s">
        <v>32</v>
      </c>
      <c r="F19">
        <v>4281</v>
      </c>
      <c r="G19">
        <v>101</v>
      </c>
      <c r="H19">
        <v>163</v>
      </c>
      <c r="I19">
        <v>32278</v>
      </c>
      <c r="J19">
        <v>53382</v>
      </c>
      <c r="K19">
        <v>235</v>
      </c>
      <c r="L19" t="s">
        <v>42</v>
      </c>
      <c r="M19" t="s">
        <v>375</v>
      </c>
      <c r="N19" t="s">
        <v>55</v>
      </c>
    </row>
    <row r="20" spans="1:14">
      <c r="A20" t="s">
        <v>56</v>
      </c>
      <c r="B20" t="s">
        <v>31</v>
      </c>
      <c r="C20" s="7">
        <v>45458</v>
      </c>
      <c r="D20" t="s">
        <v>57</v>
      </c>
      <c r="E20" t="s">
        <v>37</v>
      </c>
      <c r="F20">
        <v>1751</v>
      </c>
      <c r="G20">
        <v>143</v>
      </c>
      <c r="H20">
        <v>151</v>
      </c>
      <c r="I20">
        <v>31826</v>
      </c>
      <c r="J20">
        <v>47729</v>
      </c>
      <c r="K20">
        <v>95</v>
      </c>
      <c r="L20" t="s">
        <v>21</v>
      </c>
      <c r="M20" t="s">
        <v>45</v>
      </c>
      <c r="N20" t="s">
        <v>59</v>
      </c>
    </row>
    <row r="21" spans="1:14">
      <c r="A21" t="s">
        <v>60</v>
      </c>
      <c r="B21" t="s">
        <v>14</v>
      </c>
      <c r="C21" s="7">
        <v>45478</v>
      </c>
      <c r="D21" t="s">
        <v>15</v>
      </c>
      <c r="E21" t="s">
        <v>51</v>
      </c>
      <c r="F21">
        <v>3753</v>
      </c>
      <c r="G21">
        <v>411</v>
      </c>
      <c r="H21">
        <v>308</v>
      </c>
      <c r="I21">
        <v>29138</v>
      </c>
      <c r="J21">
        <v>27678</v>
      </c>
      <c r="K21">
        <v>90</v>
      </c>
      <c r="L21" t="s">
        <v>21</v>
      </c>
      <c r="M21" t="s">
        <v>375</v>
      </c>
      <c r="N21" t="s">
        <v>22</v>
      </c>
    </row>
    <row r="22" spans="1:14">
      <c r="A22" t="s">
        <v>61</v>
      </c>
      <c r="B22" t="s">
        <v>14</v>
      </c>
      <c r="C22" s="7">
        <v>45603</v>
      </c>
      <c r="D22" t="s">
        <v>25</v>
      </c>
      <c r="E22" t="s">
        <v>29</v>
      </c>
      <c r="F22">
        <v>1678</v>
      </c>
      <c r="G22">
        <v>423</v>
      </c>
      <c r="H22">
        <v>323</v>
      </c>
      <c r="I22">
        <v>55668</v>
      </c>
      <c r="J22">
        <v>37945</v>
      </c>
      <c r="K22">
        <v>230</v>
      </c>
      <c r="L22" t="s">
        <v>42</v>
      </c>
      <c r="M22" t="s">
        <v>375</v>
      </c>
      <c r="N22" t="s">
        <v>55</v>
      </c>
    </row>
    <row r="23" spans="1:14">
      <c r="A23" t="s">
        <v>62</v>
      </c>
      <c r="B23" t="s">
        <v>14</v>
      </c>
      <c r="C23" s="7">
        <v>45823</v>
      </c>
      <c r="D23" t="s">
        <v>15</v>
      </c>
      <c r="E23" t="s">
        <v>35</v>
      </c>
      <c r="F23">
        <v>4896</v>
      </c>
      <c r="G23">
        <v>466</v>
      </c>
      <c r="H23">
        <v>233</v>
      </c>
      <c r="I23">
        <v>28621</v>
      </c>
      <c r="J23">
        <v>34270</v>
      </c>
      <c r="K23">
        <v>84</v>
      </c>
      <c r="L23" t="s">
        <v>45</v>
      </c>
      <c r="M23" t="s">
        <v>42</v>
      </c>
      <c r="N23" t="s">
        <v>18</v>
      </c>
    </row>
    <row r="24" spans="1:14">
      <c r="A24" t="s">
        <v>63</v>
      </c>
      <c r="B24" t="s">
        <v>31</v>
      </c>
      <c r="C24" s="7">
        <v>45452</v>
      </c>
      <c r="D24" t="s">
        <v>57</v>
      </c>
      <c r="E24" t="s">
        <v>49</v>
      </c>
      <c r="F24">
        <v>2786</v>
      </c>
      <c r="G24">
        <v>368</v>
      </c>
      <c r="H24">
        <v>208</v>
      </c>
      <c r="I24">
        <v>42000</v>
      </c>
      <c r="J24">
        <v>39967</v>
      </c>
      <c r="K24">
        <v>103</v>
      </c>
      <c r="L24" t="s">
        <v>21</v>
      </c>
      <c r="M24" t="s">
        <v>45</v>
      </c>
      <c r="N24" t="s">
        <v>59</v>
      </c>
    </row>
    <row r="25" spans="1:14">
      <c r="A25" t="s">
        <v>64</v>
      </c>
      <c r="B25" t="s">
        <v>24</v>
      </c>
      <c r="C25" s="7">
        <v>45583</v>
      </c>
      <c r="D25" t="s">
        <v>15</v>
      </c>
      <c r="E25" t="s">
        <v>26</v>
      </c>
      <c r="F25">
        <v>2607</v>
      </c>
      <c r="G25">
        <v>379</v>
      </c>
      <c r="H25">
        <v>180</v>
      </c>
      <c r="I25">
        <v>28712</v>
      </c>
      <c r="J25">
        <v>61620</v>
      </c>
      <c r="K25">
        <v>174</v>
      </c>
      <c r="L25" t="s">
        <v>45</v>
      </c>
      <c r="M25" t="s">
        <v>375</v>
      </c>
      <c r="N25" t="s">
        <v>22</v>
      </c>
    </row>
    <row r="26" spans="1:14">
      <c r="A26" t="s">
        <v>65</v>
      </c>
      <c r="B26" t="s">
        <v>31</v>
      </c>
      <c r="C26" s="7">
        <v>45575</v>
      </c>
      <c r="D26" t="s">
        <v>57</v>
      </c>
      <c r="E26" t="s">
        <v>49</v>
      </c>
      <c r="F26">
        <v>4013</v>
      </c>
      <c r="G26">
        <v>320</v>
      </c>
      <c r="H26">
        <v>92</v>
      </c>
      <c r="I26">
        <v>54605</v>
      </c>
      <c r="J26">
        <v>60169</v>
      </c>
      <c r="K26">
        <v>232</v>
      </c>
      <c r="L26" t="s">
        <v>21</v>
      </c>
      <c r="M26" t="s">
        <v>45</v>
      </c>
      <c r="N26" t="s">
        <v>59</v>
      </c>
    </row>
    <row r="27" spans="1:14">
      <c r="A27" t="s">
        <v>66</v>
      </c>
      <c r="B27" t="s">
        <v>24</v>
      </c>
      <c r="C27" s="7">
        <v>45791</v>
      </c>
      <c r="D27" t="s">
        <v>25</v>
      </c>
      <c r="E27" t="s">
        <v>49</v>
      </c>
      <c r="F27">
        <v>2707</v>
      </c>
      <c r="G27">
        <v>103</v>
      </c>
      <c r="H27">
        <v>51</v>
      </c>
      <c r="I27">
        <v>55302</v>
      </c>
      <c r="J27">
        <v>18801</v>
      </c>
      <c r="K27">
        <v>147</v>
      </c>
      <c r="L27" t="s">
        <v>21</v>
      </c>
      <c r="M27" t="s">
        <v>376</v>
      </c>
      <c r="N27" t="s">
        <v>18</v>
      </c>
    </row>
    <row r="28" spans="1:14">
      <c r="A28" t="s">
        <v>67</v>
      </c>
      <c r="B28" t="s">
        <v>14</v>
      </c>
      <c r="C28" s="7">
        <v>45625</v>
      </c>
      <c r="D28" t="s">
        <v>15</v>
      </c>
      <c r="E28" t="s">
        <v>35</v>
      </c>
      <c r="F28">
        <v>2824</v>
      </c>
      <c r="G28">
        <v>425</v>
      </c>
      <c r="H28">
        <v>274</v>
      </c>
      <c r="I28">
        <v>31004</v>
      </c>
      <c r="J28">
        <v>53488</v>
      </c>
      <c r="K28">
        <v>268</v>
      </c>
      <c r="L28" t="s">
        <v>45</v>
      </c>
      <c r="M28" t="s">
        <v>42</v>
      </c>
      <c r="N28" t="s">
        <v>18</v>
      </c>
    </row>
    <row r="29" spans="1:14">
      <c r="A29" t="s">
        <v>68</v>
      </c>
      <c r="B29" t="s">
        <v>31</v>
      </c>
      <c r="C29" s="7">
        <v>45356</v>
      </c>
      <c r="D29" t="s">
        <v>57</v>
      </c>
      <c r="E29" t="s">
        <v>20</v>
      </c>
      <c r="F29">
        <v>3558</v>
      </c>
      <c r="G29">
        <v>314</v>
      </c>
      <c r="H29">
        <v>199</v>
      </c>
      <c r="I29">
        <v>49612</v>
      </c>
      <c r="J29">
        <v>53929</v>
      </c>
      <c r="K29">
        <v>206</v>
      </c>
      <c r="L29" t="s">
        <v>21</v>
      </c>
      <c r="M29" t="s">
        <v>45</v>
      </c>
      <c r="N29" t="s">
        <v>59</v>
      </c>
    </row>
    <row r="30" spans="1:14">
      <c r="A30" t="s">
        <v>69</v>
      </c>
      <c r="B30" t="s">
        <v>24</v>
      </c>
      <c r="C30" s="7">
        <v>45734</v>
      </c>
      <c r="D30" t="s">
        <v>25</v>
      </c>
      <c r="E30" t="s">
        <v>20</v>
      </c>
      <c r="F30">
        <v>3418</v>
      </c>
      <c r="G30">
        <v>188</v>
      </c>
      <c r="H30">
        <v>387</v>
      </c>
      <c r="I30">
        <v>57431</v>
      </c>
      <c r="J30">
        <v>36933</v>
      </c>
      <c r="K30">
        <v>202</v>
      </c>
      <c r="L30" t="s">
        <v>376</v>
      </c>
      <c r="M30" t="s">
        <v>42</v>
      </c>
      <c r="N30" t="s">
        <v>18</v>
      </c>
    </row>
    <row r="31" spans="1:14">
      <c r="A31" t="s">
        <v>70</v>
      </c>
      <c r="B31" t="s">
        <v>24</v>
      </c>
      <c r="C31" s="7">
        <v>45773</v>
      </c>
      <c r="D31" t="s">
        <v>15</v>
      </c>
      <c r="E31" t="s">
        <v>16</v>
      </c>
      <c r="F31">
        <v>2411</v>
      </c>
      <c r="G31">
        <v>194</v>
      </c>
      <c r="H31">
        <v>168</v>
      </c>
      <c r="I31">
        <v>26665</v>
      </c>
      <c r="J31">
        <v>71699</v>
      </c>
      <c r="K31">
        <v>197</v>
      </c>
      <c r="L31" t="s">
        <v>42</v>
      </c>
      <c r="M31" t="s">
        <v>375</v>
      </c>
      <c r="N31" t="s">
        <v>18</v>
      </c>
    </row>
    <row r="32" spans="1:14">
      <c r="A32" t="s">
        <v>71</v>
      </c>
      <c r="B32" t="s">
        <v>14</v>
      </c>
      <c r="C32" s="7">
        <v>45658</v>
      </c>
      <c r="D32" t="s">
        <v>15</v>
      </c>
      <c r="E32" t="s">
        <v>26</v>
      </c>
      <c r="F32">
        <v>4036</v>
      </c>
      <c r="G32">
        <v>112</v>
      </c>
      <c r="H32">
        <v>382</v>
      </c>
      <c r="I32">
        <v>56284</v>
      </c>
      <c r="J32">
        <v>29440</v>
      </c>
      <c r="K32">
        <v>279</v>
      </c>
      <c r="L32" t="s">
        <v>45</v>
      </c>
      <c r="M32" t="s">
        <v>42</v>
      </c>
      <c r="N32" t="s">
        <v>18</v>
      </c>
    </row>
    <row r="33" spans="1:14">
      <c r="A33" t="s">
        <v>72</v>
      </c>
      <c r="B33" t="s">
        <v>24</v>
      </c>
      <c r="C33" s="7">
        <v>45419</v>
      </c>
      <c r="D33" t="s">
        <v>25</v>
      </c>
      <c r="E33" t="s">
        <v>20</v>
      </c>
      <c r="F33">
        <v>2776</v>
      </c>
      <c r="G33">
        <v>307</v>
      </c>
      <c r="H33">
        <v>178</v>
      </c>
      <c r="I33">
        <v>43365</v>
      </c>
      <c r="J33">
        <v>48408</v>
      </c>
      <c r="K33">
        <v>138</v>
      </c>
      <c r="L33" t="s">
        <v>45</v>
      </c>
      <c r="M33" t="s">
        <v>42</v>
      </c>
      <c r="N33" t="s">
        <v>18</v>
      </c>
    </row>
    <row r="34" spans="1:14">
      <c r="A34" t="s">
        <v>73</v>
      </c>
      <c r="B34" t="s">
        <v>24</v>
      </c>
      <c r="C34" s="7">
        <v>45574</v>
      </c>
      <c r="D34" t="s">
        <v>25</v>
      </c>
      <c r="E34" t="s">
        <v>16</v>
      </c>
      <c r="F34">
        <v>4929</v>
      </c>
      <c r="G34">
        <v>182</v>
      </c>
      <c r="H34">
        <v>95</v>
      </c>
      <c r="I34">
        <v>32181</v>
      </c>
      <c r="J34">
        <v>31084</v>
      </c>
      <c r="K34">
        <v>289</v>
      </c>
      <c r="L34" t="s">
        <v>21</v>
      </c>
      <c r="M34" t="s">
        <v>376</v>
      </c>
      <c r="N34" t="s">
        <v>18</v>
      </c>
    </row>
    <row r="35" spans="1:14">
      <c r="A35" t="s">
        <v>74</v>
      </c>
      <c r="B35" t="s">
        <v>14</v>
      </c>
      <c r="C35" s="7">
        <v>45666</v>
      </c>
      <c r="D35" t="s">
        <v>15</v>
      </c>
      <c r="E35" t="s">
        <v>26</v>
      </c>
      <c r="F35">
        <v>1015</v>
      </c>
      <c r="G35">
        <v>366</v>
      </c>
      <c r="H35">
        <v>308</v>
      </c>
      <c r="I35">
        <v>38127</v>
      </c>
      <c r="J35">
        <v>63790</v>
      </c>
      <c r="K35">
        <v>287</v>
      </c>
      <c r="L35" t="s">
        <v>45</v>
      </c>
      <c r="M35" t="s">
        <v>42</v>
      </c>
      <c r="N35" t="s">
        <v>18</v>
      </c>
    </row>
    <row r="36" spans="1:14">
      <c r="A36" t="s">
        <v>75</v>
      </c>
      <c r="B36" t="s">
        <v>24</v>
      </c>
      <c r="C36" s="7">
        <v>45785</v>
      </c>
      <c r="D36" t="s">
        <v>25</v>
      </c>
      <c r="E36" t="s">
        <v>51</v>
      </c>
      <c r="F36">
        <v>3316</v>
      </c>
      <c r="G36">
        <v>332</v>
      </c>
      <c r="H36">
        <v>268</v>
      </c>
      <c r="I36">
        <v>40095</v>
      </c>
      <c r="J36">
        <v>36913</v>
      </c>
      <c r="K36">
        <v>265</v>
      </c>
      <c r="L36" t="s">
        <v>376</v>
      </c>
      <c r="M36" t="s">
        <v>42</v>
      </c>
      <c r="N36" t="s">
        <v>18</v>
      </c>
    </row>
    <row r="37" spans="1:14">
      <c r="A37" t="s">
        <v>76</v>
      </c>
      <c r="B37" t="s">
        <v>14</v>
      </c>
      <c r="C37" s="7">
        <v>45416</v>
      </c>
      <c r="D37" t="s">
        <v>15</v>
      </c>
      <c r="E37" t="s">
        <v>29</v>
      </c>
      <c r="F37">
        <v>2274</v>
      </c>
      <c r="G37">
        <v>243</v>
      </c>
      <c r="H37">
        <v>222</v>
      </c>
      <c r="I37">
        <v>43066</v>
      </c>
      <c r="J37">
        <v>59174</v>
      </c>
      <c r="K37">
        <v>80</v>
      </c>
      <c r="L37" t="s">
        <v>21</v>
      </c>
      <c r="M37" t="s">
        <v>375</v>
      </c>
      <c r="N37" t="s">
        <v>22</v>
      </c>
    </row>
    <row r="38" spans="1:14">
      <c r="A38" t="s">
        <v>77</v>
      </c>
      <c r="B38" t="s">
        <v>24</v>
      </c>
      <c r="C38" s="7">
        <v>45804</v>
      </c>
      <c r="D38" t="s">
        <v>25</v>
      </c>
      <c r="E38" t="s">
        <v>20</v>
      </c>
      <c r="F38">
        <v>4095</v>
      </c>
      <c r="G38">
        <v>385</v>
      </c>
      <c r="H38">
        <v>400</v>
      </c>
      <c r="I38">
        <v>45300</v>
      </c>
      <c r="J38">
        <v>31795</v>
      </c>
      <c r="K38">
        <v>80</v>
      </c>
      <c r="L38" t="s">
        <v>376</v>
      </c>
      <c r="M38" t="s">
        <v>42</v>
      </c>
      <c r="N38" t="s">
        <v>18</v>
      </c>
    </row>
    <row r="39" spans="1:14">
      <c r="A39" t="s">
        <v>78</v>
      </c>
      <c r="B39" t="s">
        <v>14</v>
      </c>
      <c r="C39" s="7">
        <v>45545</v>
      </c>
      <c r="D39" t="s">
        <v>25</v>
      </c>
      <c r="E39" t="s">
        <v>26</v>
      </c>
      <c r="F39">
        <v>1230</v>
      </c>
      <c r="G39">
        <v>309</v>
      </c>
      <c r="H39">
        <v>207</v>
      </c>
      <c r="I39">
        <v>44629</v>
      </c>
      <c r="J39">
        <v>40699</v>
      </c>
      <c r="K39">
        <v>195</v>
      </c>
      <c r="L39" t="s">
        <v>42</v>
      </c>
      <c r="M39" t="s">
        <v>375</v>
      </c>
      <c r="N39" t="s">
        <v>55</v>
      </c>
    </row>
    <row r="40" spans="1:14">
      <c r="A40" t="s">
        <v>79</v>
      </c>
      <c r="B40" t="s">
        <v>14</v>
      </c>
      <c r="C40" s="7">
        <v>45621</v>
      </c>
      <c r="D40" t="s">
        <v>15</v>
      </c>
      <c r="E40" t="s">
        <v>49</v>
      </c>
      <c r="F40">
        <v>1341</v>
      </c>
      <c r="G40">
        <v>472</v>
      </c>
      <c r="H40">
        <v>238</v>
      </c>
      <c r="I40">
        <v>51386</v>
      </c>
      <c r="J40">
        <v>51706</v>
      </c>
      <c r="K40">
        <v>133</v>
      </c>
      <c r="L40" t="s">
        <v>21</v>
      </c>
      <c r="M40" t="s">
        <v>375</v>
      </c>
      <c r="N40" t="s">
        <v>22</v>
      </c>
    </row>
    <row r="41" spans="1:14">
      <c r="A41" t="s">
        <v>80</v>
      </c>
      <c r="B41" t="s">
        <v>24</v>
      </c>
      <c r="C41" s="7">
        <v>45818</v>
      </c>
      <c r="D41" t="s">
        <v>15</v>
      </c>
      <c r="E41" t="s">
        <v>20</v>
      </c>
      <c r="F41">
        <v>3615</v>
      </c>
      <c r="G41">
        <v>192</v>
      </c>
      <c r="H41">
        <v>162</v>
      </c>
      <c r="I41">
        <v>27492</v>
      </c>
      <c r="J41">
        <v>35341</v>
      </c>
      <c r="K41">
        <v>125</v>
      </c>
      <c r="L41" t="s">
        <v>42</v>
      </c>
      <c r="M41" t="s">
        <v>375</v>
      </c>
      <c r="N41" t="s">
        <v>18</v>
      </c>
    </row>
    <row r="42" spans="1:14">
      <c r="A42" t="s">
        <v>81</v>
      </c>
      <c r="B42" t="s">
        <v>14</v>
      </c>
      <c r="C42" s="7">
        <v>45401</v>
      </c>
      <c r="D42" t="s">
        <v>15</v>
      </c>
      <c r="E42" t="s">
        <v>26</v>
      </c>
      <c r="F42">
        <v>4001</v>
      </c>
      <c r="G42">
        <v>353</v>
      </c>
      <c r="H42">
        <v>129</v>
      </c>
      <c r="I42">
        <v>41265</v>
      </c>
      <c r="J42">
        <v>37279</v>
      </c>
      <c r="K42">
        <v>275</v>
      </c>
      <c r="L42" t="s">
        <v>45</v>
      </c>
      <c r="M42" t="s">
        <v>42</v>
      </c>
      <c r="N42" t="s">
        <v>18</v>
      </c>
    </row>
    <row r="43" spans="1:14">
      <c r="A43" t="s">
        <v>82</v>
      </c>
      <c r="B43" t="s">
        <v>14</v>
      </c>
      <c r="C43" s="7">
        <v>45683</v>
      </c>
      <c r="D43" t="s">
        <v>25</v>
      </c>
      <c r="E43" t="s">
        <v>35</v>
      </c>
      <c r="F43">
        <v>3451</v>
      </c>
      <c r="G43">
        <v>363</v>
      </c>
      <c r="H43">
        <v>393</v>
      </c>
      <c r="I43">
        <v>44853</v>
      </c>
      <c r="J43">
        <v>69032</v>
      </c>
      <c r="K43">
        <v>211</v>
      </c>
      <c r="L43" t="s">
        <v>42</v>
      </c>
      <c r="M43" t="s">
        <v>375</v>
      </c>
      <c r="N43" t="s">
        <v>55</v>
      </c>
    </row>
    <row r="44" spans="1:14">
      <c r="A44" t="s">
        <v>83</v>
      </c>
      <c r="B44" t="s">
        <v>14</v>
      </c>
      <c r="C44" s="7">
        <v>45702</v>
      </c>
      <c r="D44" t="s">
        <v>15</v>
      </c>
      <c r="E44" t="s">
        <v>41</v>
      </c>
      <c r="F44">
        <v>4891</v>
      </c>
      <c r="G44">
        <v>450</v>
      </c>
      <c r="H44">
        <v>387</v>
      </c>
      <c r="I44">
        <v>48746</v>
      </c>
      <c r="J44">
        <v>37312</v>
      </c>
      <c r="K44">
        <v>154</v>
      </c>
      <c r="L44" t="s">
        <v>45</v>
      </c>
      <c r="M44" t="s">
        <v>42</v>
      </c>
      <c r="N44" t="s">
        <v>18</v>
      </c>
    </row>
    <row r="45" spans="1:14">
      <c r="A45" t="s">
        <v>84</v>
      </c>
      <c r="B45" t="s">
        <v>14</v>
      </c>
      <c r="C45" s="7">
        <v>45541</v>
      </c>
      <c r="D45" t="s">
        <v>15</v>
      </c>
      <c r="E45" t="s">
        <v>26</v>
      </c>
      <c r="F45">
        <v>1452</v>
      </c>
      <c r="G45">
        <v>281</v>
      </c>
      <c r="H45">
        <v>326</v>
      </c>
      <c r="I45">
        <v>51556</v>
      </c>
      <c r="J45">
        <v>62599</v>
      </c>
      <c r="K45">
        <v>290</v>
      </c>
      <c r="L45" t="s">
        <v>21</v>
      </c>
      <c r="M45" t="s">
        <v>375</v>
      </c>
      <c r="N45" t="s">
        <v>22</v>
      </c>
    </row>
    <row r="46" spans="1:14">
      <c r="A46" t="s">
        <v>85</v>
      </c>
      <c r="B46" t="s">
        <v>31</v>
      </c>
      <c r="C46" s="7">
        <v>45487</v>
      </c>
      <c r="D46" t="s">
        <v>15</v>
      </c>
      <c r="E46" t="s">
        <v>51</v>
      </c>
      <c r="F46">
        <v>3806</v>
      </c>
      <c r="G46">
        <v>114</v>
      </c>
      <c r="H46">
        <v>278</v>
      </c>
      <c r="I46">
        <v>36148</v>
      </c>
      <c r="J46">
        <v>24209</v>
      </c>
      <c r="K46">
        <v>201</v>
      </c>
      <c r="L46" t="s">
        <v>21</v>
      </c>
      <c r="M46" t="s">
        <v>377</v>
      </c>
      <c r="N46" t="s">
        <v>22</v>
      </c>
    </row>
    <row r="47" spans="1:14">
      <c r="A47" t="s">
        <v>86</v>
      </c>
      <c r="B47" t="s">
        <v>14</v>
      </c>
      <c r="C47" s="7">
        <v>45334</v>
      </c>
      <c r="D47" t="s">
        <v>15</v>
      </c>
      <c r="E47" t="s">
        <v>20</v>
      </c>
      <c r="F47">
        <v>2923</v>
      </c>
      <c r="G47">
        <v>330</v>
      </c>
      <c r="H47">
        <v>250</v>
      </c>
      <c r="I47">
        <v>23993</v>
      </c>
      <c r="J47">
        <v>74590</v>
      </c>
      <c r="K47">
        <v>92</v>
      </c>
      <c r="L47" t="s">
        <v>21</v>
      </c>
      <c r="M47" t="s">
        <v>375</v>
      </c>
      <c r="N47" t="s">
        <v>22</v>
      </c>
    </row>
    <row r="48" spans="1:14">
      <c r="A48" t="s">
        <v>87</v>
      </c>
      <c r="B48" t="s">
        <v>31</v>
      </c>
      <c r="C48" s="7">
        <v>45365</v>
      </c>
      <c r="D48" t="s">
        <v>57</v>
      </c>
      <c r="E48" t="s">
        <v>49</v>
      </c>
      <c r="F48">
        <v>3361</v>
      </c>
      <c r="G48">
        <v>188</v>
      </c>
      <c r="H48">
        <v>358</v>
      </c>
      <c r="I48">
        <v>39838</v>
      </c>
      <c r="J48">
        <v>24536</v>
      </c>
      <c r="K48">
        <v>120</v>
      </c>
      <c r="L48" t="s">
        <v>21</v>
      </c>
      <c r="M48" t="s">
        <v>45</v>
      </c>
      <c r="N48" t="s">
        <v>59</v>
      </c>
    </row>
    <row r="49" spans="1:14">
      <c r="A49" t="s">
        <v>88</v>
      </c>
      <c r="B49" t="s">
        <v>14</v>
      </c>
      <c r="C49" s="7">
        <v>45693</v>
      </c>
      <c r="D49" t="s">
        <v>25</v>
      </c>
      <c r="E49" t="s">
        <v>32</v>
      </c>
      <c r="F49">
        <v>3074</v>
      </c>
      <c r="G49">
        <v>371</v>
      </c>
      <c r="H49">
        <v>348</v>
      </c>
      <c r="I49">
        <v>24104</v>
      </c>
      <c r="J49">
        <v>57803</v>
      </c>
      <c r="K49">
        <v>213</v>
      </c>
      <c r="L49" t="s">
        <v>42</v>
      </c>
      <c r="M49" t="s">
        <v>375</v>
      </c>
      <c r="N49" t="s">
        <v>55</v>
      </c>
    </row>
    <row r="50" spans="1:14">
      <c r="A50" t="s">
        <v>89</v>
      </c>
      <c r="B50" t="s">
        <v>24</v>
      </c>
      <c r="C50" s="7">
        <v>45533</v>
      </c>
      <c r="D50" t="s">
        <v>25</v>
      </c>
      <c r="E50" t="s">
        <v>37</v>
      </c>
      <c r="F50">
        <v>4276</v>
      </c>
      <c r="G50">
        <v>227</v>
      </c>
      <c r="H50">
        <v>223</v>
      </c>
      <c r="I50">
        <v>43443</v>
      </c>
      <c r="J50">
        <v>41005</v>
      </c>
      <c r="K50">
        <v>191</v>
      </c>
      <c r="L50" t="s">
        <v>21</v>
      </c>
      <c r="M50" t="s">
        <v>376</v>
      </c>
      <c r="N50" t="s">
        <v>18</v>
      </c>
    </row>
    <row r="51" spans="1:14">
      <c r="A51" t="s">
        <v>90</v>
      </c>
      <c r="B51" t="s">
        <v>24</v>
      </c>
      <c r="C51" s="7">
        <v>45769</v>
      </c>
      <c r="D51" t="s">
        <v>15</v>
      </c>
      <c r="E51" t="s">
        <v>16</v>
      </c>
      <c r="F51">
        <v>4401</v>
      </c>
      <c r="G51">
        <v>421</v>
      </c>
      <c r="H51">
        <v>216</v>
      </c>
      <c r="I51">
        <v>24890</v>
      </c>
      <c r="J51">
        <v>54361</v>
      </c>
      <c r="K51">
        <v>148</v>
      </c>
      <c r="L51" t="s">
        <v>42</v>
      </c>
      <c r="M51" t="s">
        <v>375</v>
      </c>
      <c r="N51" t="s">
        <v>18</v>
      </c>
    </row>
    <row r="52" spans="1:14">
      <c r="A52" t="s">
        <v>91</v>
      </c>
      <c r="B52" t="s">
        <v>31</v>
      </c>
      <c r="C52" s="7">
        <v>45425</v>
      </c>
      <c r="D52" t="s">
        <v>57</v>
      </c>
      <c r="E52" t="s">
        <v>20</v>
      </c>
      <c r="F52">
        <v>4161</v>
      </c>
      <c r="G52">
        <v>481</v>
      </c>
      <c r="H52">
        <v>61</v>
      </c>
      <c r="I52">
        <v>45884</v>
      </c>
      <c r="J52">
        <v>48955</v>
      </c>
      <c r="K52">
        <v>215</v>
      </c>
      <c r="L52" t="s">
        <v>21</v>
      </c>
      <c r="M52" t="s">
        <v>45</v>
      </c>
      <c r="N52" t="s">
        <v>59</v>
      </c>
    </row>
    <row r="53" spans="1:14">
      <c r="A53" t="s">
        <v>92</v>
      </c>
      <c r="B53" t="s">
        <v>24</v>
      </c>
      <c r="C53" s="7">
        <v>45539</v>
      </c>
      <c r="D53" t="s">
        <v>25</v>
      </c>
      <c r="E53" t="s">
        <v>26</v>
      </c>
      <c r="F53">
        <v>2613</v>
      </c>
      <c r="G53">
        <v>455</v>
      </c>
      <c r="H53">
        <v>228</v>
      </c>
      <c r="I53">
        <v>21645</v>
      </c>
      <c r="J53">
        <v>61334</v>
      </c>
      <c r="K53">
        <v>261</v>
      </c>
      <c r="L53" t="s">
        <v>21</v>
      </c>
      <c r="M53" t="s">
        <v>376</v>
      </c>
      <c r="N53" t="s">
        <v>18</v>
      </c>
    </row>
    <row r="54" spans="1:14">
      <c r="A54" t="s">
        <v>93</v>
      </c>
      <c r="B54" t="s">
        <v>24</v>
      </c>
      <c r="C54" s="7">
        <v>45516</v>
      </c>
      <c r="D54" t="s">
        <v>25</v>
      </c>
      <c r="E54" t="s">
        <v>35</v>
      </c>
      <c r="F54">
        <v>2842</v>
      </c>
      <c r="G54">
        <v>213</v>
      </c>
      <c r="H54">
        <v>331</v>
      </c>
      <c r="I54">
        <v>57660</v>
      </c>
      <c r="J54">
        <v>68606</v>
      </c>
      <c r="K54">
        <v>87</v>
      </c>
      <c r="L54" t="s">
        <v>376</v>
      </c>
      <c r="M54" t="s">
        <v>42</v>
      </c>
      <c r="N54" t="s">
        <v>18</v>
      </c>
    </row>
    <row r="55" spans="1:14">
      <c r="A55" t="s">
        <v>94</v>
      </c>
      <c r="B55" t="s">
        <v>14</v>
      </c>
      <c r="C55" s="7">
        <v>45722</v>
      </c>
      <c r="D55" t="s">
        <v>15</v>
      </c>
      <c r="E55" t="s">
        <v>37</v>
      </c>
      <c r="F55">
        <v>4851</v>
      </c>
      <c r="G55">
        <v>460</v>
      </c>
      <c r="H55">
        <v>212</v>
      </c>
      <c r="I55">
        <v>58075</v>
      </c>
      <c r="J55">
        <v>59574</v>
      </c>
      <c r="K55">
        <v>239</v>
      </c>
      <c r="L55" t="s">
        <v>21</v>
      </c>
      <c r="M55" t="s">
        <v>375</v>
      </c>
      <c r="N55" t="s">
        <v>22</v>
      </c>
    </row>
    <row r="56" spans="1:14">
      <c r="A56" t="s">
        <v>95</v>
      </c>
      <c r="B56" t="s">
        <v>24</v>
      </c>
      <c r="C56" s="7">
        <v>45420</v>
      </c>
      <c r="D56" t="s">
        <v>15</v>
      </c>
      <c r="E56" t="s">
        <v>20</v>
      </c>
      <c r="F56">
        <v>1828</v>
      </c>
      <c r="G56">
        <v>450</v>
      </c>
      <c r="H56">
        <v>214</v>
      </c>
      <c r="I56">
        <v>52115</v>
      </c>
      <c r="J56">
        <v>19166</v>
      </c>
      <c r="K56">
        <v>190</v>
      </c>
      <c r="L56" t="s">
        <v>42</v>
      </c>
      <c r="M56" t="s">
        <v>375</v>
      </c>
      <c r="N56" t="s">
        <v>18</v>
      </c>
    </row>
    <row r="57" spans="1:14">
      <c r="A57" t="s">
        <v>96</v>
      </c>
      <c r="B57" t="s">
        <v>14</v>
      </c>
      <c r="C57" s="7">
        <v>45707</v>
      </c>
      <c r="D57" t="s">
        <v>25</v>
      </c>
      <c r="E57" t="s">
        <v>49</v>
      </c>
      <c r="F57">
        <v>2422</v>
      </c>
      <c r="G57">
        <v>455</v>
      </c>
      <c r="H57">
        <v>376</v>
      </c>
      <c r="I57">
        <v>23428</v>
      </c>
      <c r="J57">
        <v>46775</v>
      </c>
      <c r="K57">
        <v>259</v>
      </c>
      <c r="L57" t="s">
        <v>42</v>
      </c>
      <c r="M57" t="s">
        <v>375</v>
      </c>
      <c r="N57" t="s">
        <v>55</v>
      </c>
    </row>
    <row r="58" spans="1:14">
      <c r="A58" t="s">
        <v>97</v>
      </c>
      <c r="B58" t="s">
        <v>14</v>
      </c>
      <c r="C58" s="7">
        <v>45299</v>
      </c>
      <c r="D58" t="s">
        <v>15</v>
      </c>
      <c r="E58" t="s">
        <v>41</v>
      </c>
      <c r="F58">
        <v>2683</v>
      </c>
      <c r="G58">
        <v>405</v>
      </c>
      <c r="H58">
        <v>223</v>
      </c>
      <c r="I58">
        <v>31233</v>
      </c>
      <c r="J58">
        <v>58106</v>
      </c>
      <c r="K58">
        <v>291</v>
      </c>
      <c r="L58" t="s">
        <v>21</v>
      </c>
      <c r="M58" t="s">
        <v>375</v>
      </c>
      <c r="N58" t="s">
        <v>22</v>
      </c>
    </row>
    <row r="59" spans="1:14">
      <c r="A59" t="s">
        <v>98</v>
      </c>
      <c r="B59" t="s">
        <v>31</v>
      </c>
      <c r="C59" s="7">
        <v>45490</v>
      </c>
      <c r="D59" t="s">
        <v>15</v>
      </c>
      <c r="E59" t="s">
        <v>41</v>
      </c>
      <c r="F59">
        <v>3135</v>
      </c>
      <c r="G59">
        <v>110</v>
      </c>
      <c r="H59">
        <v>215</v>
      </c>
      <c r="I59">
        <v>39192</v>
      </c>
      <c r="J59">
        <v>24744</v>
      </c>
      <c r="K59">
        <v>177</v>
      </c>
      <c r="L59" t="s">
        <v>21</v>
      </c>
      <c r="M59" t="s">
        <v>377</v>
      </c>
      <c r="N59" t="s">
        <v>22</v>
      </c>
    </row>
    <row r="60" spans="1:14">
      <c r="A60" t="s">
        <v>99</v>
      </c>
      <c r="B60" t="s">
        <v>31</v>
      </c>
      <c r="C60" s="7">
        <v>45514</v>
      </c>
      <c r="D60" t="s">
        <v>15</v>
      </c>
      <c r="E60" t="s">
        <v>49</v>
      </c>
      <c r="F60">
        <v>1105</v>
      </c>
      <c r="G60">
        <v>181</v>
      </c>
      <c r="H60">
        <v>55</v>
      </c>
      <c r="I60">
        <v>53581</v>
      </c>
      <c r="J60">
        <v>74048</v>
      </c>
      <c r="K60">
        <v>220</v>
      </c>
      <c r="L60" t="s">
        <v>21</v>
      </c>
      <c r="M60" t="s">
        <v>377</v>
      </c>
      <c r="N60" t="s">
        <v>22</v>
      </c>
    </row>
    <row r="61" spans="1:14">
      <c r="A61" t="s">
        <v>100</v>
      </c>
      <c r="B61" t="s">
        <v>31</v>
      </c>
      <c r="C61" s="7">
        <v>45398</v>
      </c>
      <c r="D61" t="s">
        <v>15</v>
      </c>
      <c r="E61" t="s">
        <v>16</v>
      </c>
      <c r="F61">
        <v>4674</v>
      </c>
      <c r="G61">
        <v>326</v>
      </c>
      <c r="H61">
        <v>62</v>
      </c>
      <c r="I61">
        <v>45503</v>
      </c>
      <c r="J61">
        <v>46814</v>
      </c>
      <c r="K61">
        <v>116</v>
      </c>
      <c r="L61" t="s">
        <v>21</v>
      </c>
      <c r="M61" t="s">
        <v>377</v>
      </c>
      <c r="N61" t="s">
        <v>22</v>
      </c>
    </row>
    <row r="62" spans="1:14">
      <c r="A62" t="s">
        <v>101</v>
      </c>
      <c r="B62" t="s">
        <v>31</v>
      </c>
      <c r="C62" s="7">
        <v>45292</v>
      </c>
      <c r="D62" t="s">
        <v>57</v>
      </c>
      <c r="E62" t="s">
        <v>20</v>
      </c>
      <c r="F62">
        <v>3437</v>
      </c>
      <c r="G62">
        <v>129</v>
      </c>
      <c r="H62">
        <v>359</v>
      </c>
      <c r="I62">
        <v>44558</v>
      </c>
      <c r="J62">
        <v>30854</v>
      </c>
      <c r="K62">
        <v>171</v>
      </c>
      <c r="L62" t="s">
        <v>21</v>
      </c>
      <c r="M62" t="s">
        <v>45</v>
      </c>
      <c r="N62" t="s">
        <v>59</v>
      </c>
    </row>
    <row r="63" spans="1:14">
      <c r="A63" t="s">
        <v>102</v>
      </c>
      <c r="B63" t="s">
        <v>24</v>
      </c>
      <c r="C63" s="7">
        <v>45599</v>
      </c>
      <c r="D63" t="s">
        <v>25</v>
      </c>
      <c r="E63" t="s">
        <v>29</v>
      </c>
      <c r="F63">
        <v>1959</v>
      </c>
      <c r="G63">
        <v>316</v>
      </c>
      <c r="H63">
        <v>82</v>
      </c>
      <c r="I63">
        <v>54036</v>
      </c>
      <c r="J63">
        <v>69015</v>
      </c>
      <c r="K63">
        <v>182</v>
      </c>
      <c r="L63" t="s">
        <v>376</v>
      </c>
      <c r="M63" t="s">
        <v>42</v>
      </c>
      <c r="N63" t="s">
        <v>18</v>
      </c>
    </row>
    <row r="64" spans="1:14">
      <c r="A64" t="s">
        <v>103</v>
      </c>
      <c r="B64" t="s">
        <v>24</v>
      </c>
      <c r="C64" s="7">
        <v>45480</v>
      </c>
      <c r="D64" t="s">
        <v>15</v>
      </c>
      <c r="E64" t="s">
        <v>26</v>
      </c>
      <c r="F64">
        <v>1035</v>
      </c>
      <c r="G64">
        <v>137</v>
      </c>
      <c r="H64">
        <v>184</v>
      </c>
      <c r="I64">
        <v>37302</v>
      </c>
      <c r="J64">
        <v>68953</v>
      </c>
      <c r="K64">
        <v>237</v>
      </c>
      <c r="L64" t="s">
        <v>45</v>
      </c>
      <c r="M64" t="s">
        <v>375</v>
      </c>
      <c r="N64" t="s">
        <v>22</v>
      </c>
    </row>
    <row r="65" spans="1:14">
      <c r="A65" t="s">
        <v>104</v>
      </c>
      <c r="B65" t="s">
        <v>24</v>
      </c>
      <c r="C65" s="7">
        <v>45679</v>
      </c>
      <c r="D65" t="s">
        <v>25</v>
      </c>
      <c r="E65" t="s">
        <v>26</v>
      </c>
      <c r="F65">
        <v>4478</v>
      </c>
      <c r="G65">
        <v>101</v>
      </c>
      <c r="H65">
        <v>121</v>
      </c>
      <c r="I65">
        <v>51035</v>
      </c>
      <c r="J65">
        <v>58207</v>
      </c>
      <c r="K65">
        <v>205</v>
      </c>
      <c r="L65" t="s">
        <v>376</v>
      </c>
      <c r="M65" t="s">
        <v>42</v>
      </c>
      <c r="N65" t="s">
        <v>18</v>
      </c>
    </row>
    <row r="66" spans="1:14">
      <c r="A66" t="s">
        <v>105</v>
      </c>
      <c r="B66" t="s">
        <v>31</v>
      </c>
      <c r="C66" s="7">
        <v>45438</v>
      </c>
      <c r="D66" t="s">
        <v>15</v>
      </c>
      <c r="E66" t="s">
        <v>49</v>
      </c>
      <c r="F66">
        <v>1488</v>
      </c>
      <c r="G66">
        <v>327</v>
      </c>
      <c r="H66">
        <v>110</v>
      </c>
      <c r="I66">
        <v>53805</v>
      </c>
      <c r="J66">
        <v>30239</v>
      </c>
      <c r="K66">
        <v>109</v>
      </c>
      <c r="L66" t="s">
        <v>21</v>
      </c>
      <c r="M66" t="s">
        <v>377</v>
      </c>
      <c r="N66" t="s">
        <v>22</v>
      </c>
    </row>
    <row r="67" spans="1:14">
      <c r="A67" t="s">
        <v>106</v>
      </c>
      <c r="B67" t="s">
        <v>14</v>
      </c>
      <c r="C67" s="7">
        <v>45763</v>
      </c>
      <c r="D67" t="s">
        <v>15</v>
      </c>
      <c r="E67" t="s">
        <v>29</v>
      </c>
      <c r="F67">
        <v>4836</v>
      </c>
      <c r="G67">
        <v>331</v>
      </c>
      <c r="H67">
        <v>140</v>
      </c>
      <c r="I67">
        <v>58792</v>
      </c>
      <c r="J67">
        <v>47711</v>
      </c>
      <c r="K67">
        <v>227</v>
      </c>
      <c r="L67" t="s">
        <v>45</v>
      </c>
      <c r="M67" t="s">
        <v>42</v>
      </c>
      <c r="N67" t="s">
        <v>18</v>
      </c>
    </row>
    <row r="68" spans="1:14">
      <c r="A68" t="s">
        <v>107</v>
      </c>
      <c r="B68" t="s">
        <v>31</v>
      </c>
      <c r="C68" s="7">
        <v>45384</v>
      </c>
      <c r="D68" t="s">
        <v>57</v>
      </c>
      <c r="E68" t="s">
        <v>51</v>
      </c>
      <c r="F68">
        <v>4563</v>
      </c>
      <c r="G68">
        <v>488</v>
      </c>
      <c r="H68">
        <v>356</v>
      </c>
      <c r="I68">
        <v>30619</v>
      </c>
      <c r="J68">
        <v>23328</v>
      </c>
      <c r="K68">
        <v>267</v>
      </c>
      <c r="L68" t="s">
        <v>21</v>
      </c>
      <c r="M68" t="s">
        <v>45</v>
      </c>
      <c r="N68" t="s">
        <v>59</v>
      </c>
    </row>
    <row r="69" spans="1:14">
      <c r="A69" t="s">
        <v>108</v>
      </c>
      <c r="B69" t="s">
        <v>24</v>
      </c>
      <c r="C69" s="7">
        <v>45379</v>
      </c>
      <c r="D69" t="s">
        <v>15</v>
      </c>
      <c r="E69" t="s">
        <v>32</v>
      </c>
      <c r="F69">
        <v>3276</v>
      </c>
      <c r="G69">
        <v>421</v>
      </c>
      <c r="H69">
        <v>114</v>
      </c>
      <c r="I69">
        <v>20580</v>
      </c>
      <c r="J69">
        <v>30324</v>
      </c>
      <c r="K69">
        <v>221</v>
      </c>
      <c r="L69" t="s">
        <v>45</v>
      </c>
      <c r="M69" t="s">
        <v>375</v>
      </c>
      <c r="N69" t="s">
        <v>22</v>
      </c>
    </row>
    <row r="70" spans="1:14">
      <c r="A70" t="s">
        <v>109</v>
      </c>
      <c r="B70" t="s">
        <v>24</v>
      </c>
      <c r="C70" s="7">
        <v>45643</v>
      </c>
      <c r="D70" t="s">
        <v>25</v>
      </c>
      <c r="E70" t="s">
        <v>32</v>
      </c>
      <c r="F70">
        <v>1316</v>
      </c>
      <c r="G70">
        <v>472</v>
      </c>
      <c r="H70">
        <v>286</v>
      </c>
      <c r="I70">
        <v>44692</v>
      </c>
      <c r="J70">
        <v>53343</v>
      </c>
      <c r="K70">
        <v>227</v>
      </c>
      <c r="L70" t="s">
        <v>21</v>
      </c>
      <c r="M70" t="s">
        <v>376</v>
      </c>
      <c r="N70" t="s">
        <v>18</v>
      </c>
    </row>
    <row r="71" spans="1:14">
      <c r="A71" t="s">
        <v>110</v>
      </c>
      <c r="B71" t="s">
        <v>24</v>
      </c>
      <c r="C71" s="7">
        <v>45662</v>
      </c>
      <c r="D71" t="s">
        <v>15</v>
      </c>
      <c r="E71" t="s">
        <v>29</v>
      </c>
      <c r="F71">
        <v>4811</v>
      </c>
      <c r="G71">
        <v>473</v>
      </c>
      <c r="H71">
        <v>254</v>
      </c>
      <c r="I71">
        <v>51964</v>
      </c>
      <c r="J71">
        <v>68795</v>
      </c>
      <c r="K71">
        <v>107</v>
      </c>
      <c r="L71" t="s">
        <v>42</v>
      </c>
      <c r="M71" t="s">
        <v>375</v>
      </c>
      <c r="N71" t="s">
        <v>18</v>
      </c>
    </row>
    <row r="72" spans="1:14">
      <c r="A72" t="s">
        <v>111</v>
      </c>
      <c r="B72" t="s">
        <v>24</v>
      </c>
      <c r="C72" s="7">
        <v>45302</v>
      </c>
      <c r="D72" t="s">
        <v>15</v>
      </c>
      <c r="E72" t="s">
        <v>35</v>
      </c>
      <c r="F72">
        <v>4218</v>
      </c>
      <c r="G72">
        <v>247</v>
      </c>
      <c r="H72">
        <v>183</v>
      </c>
      <c r="I72">
        <v>28914</v>
      </c>
      <c r="J72">
        <v>18310</v>
      </c>
      <c r="K72">
        <v>135</v>
      </c>
      <c r="L72" t="s">
        <v>45</v>
      </c>
      <c r="M72" t="s">
        <v>375</v>
      </c>
      <c r="N72" t="s">
        <v>22</v>
      </c>
    </row>
    <row r="73" spans="1:14">
      <c r="A73" t="s">
        <v>112</v>
      </c>
      <c r="B73" t="s">
        <v>14</v>
      </c>
      <c r="C73" s="7">
        <v>45576</v>
      </c>
      <c r="D73" t="s">
        <v>15</v>
      </c>
      <c r="E73" t="s">
        <v>49</v>
      </c>
      <c r="F73">
        <v>1360</v>
      </c>
      <c r="G73">
        <v>249</v>
      </c>
      <c r="H73">
        <v>52</v>
      </c>
      <c r="I73">
        <v>20368</v>
      </c>
      <c r="J73">
        <v>42152</v>
      </c>
      <c r="K73">
        <v>193</v>
      </c>
      <c r="L73" t="s">
        <v>21</v>
      </c>
      <c r="M73" t="s">
        <v>375</v>
      </c>
      <c r="N73" t="s">
        <v>22</v>
      </c>
    </row>
    <row r="74" spans="1:14">
      <c r="A74" t="s">
        <v>113</v>
      </c>
      <c r="B74" t="s">
        <v>31</v>
      </c>
      <c r="C74" s="7">
        <v>45783</v>
      </c>
      <c r="D74" t="s">
        <v>57</v>
      </c>
      <c r="E74" t="s">
        <v>16</v>
      </c>
      <c r="F74">
        <v>1085</v>
      </c>
      <c r="G74">
        <v>496</v>
      </c>
      <c r="H74">
        <v>320</v>
      </c>
      <c r="I74">
        <v>36528</v>
      </c>
      <c r="J74">
        <v>38599</v>
      </c>
      <c r="K74">
        <v>270</v>
      </c>
      <c r="L74" t="s">
        <v>21</v>
      </c>
      <c r="M74" t="s">
        <v>45</v>
      </c>
      <c r="N74" t="s">
        <v>59</v>
      </c>
    </row>
    <row r="75" spans="1:14">
      <c r="A75" t="s">
        <v>114</v>
      </c>
      <c r="B75" t="s">
        <v>24</v>
      </c>
      <c r="C75" s="7">
        <v>45431</v>
      </c>
      <c r="D75" t="s">
        <v>25</v>
      </c>
      <c r="E75" t="s">
        <v>37</v>
      </c>
      <c r="F75">
        <v>1763</v>
      </c>
      <c r="G75">
        <v>206</v>
      </c>
      <c r="H75">
        <v>187</v>
      </c>
      <c r="I75">
        <v>53342</v>
      </c>
      <c r="J75">
        <v>25095</v>
      </c>
      <c r="K75">
        <v>88</v>
      </c>
      <c r="L75" t="s">
        <v>21</v>
      </c>
      <c r="M75" t="s">
        <v>376</v>
      </c>
      <c r="N75" t="s">
        <v>18</v>
      </c>
    </row>
    <row r="76" spans="1:14">
      <c r="A76" t="s">
        <v>115</v>
      </c>
      <c r="B76" t="s">
        <v>24</v>
      </c>
      <c r="C76" s="7">
        <v>45313</v>
      </c>
      <c r="D76" t="s">
        <v>25</v>
      </c>
      <c r="E76" t="s">
        <v>49</v>
      </c>
      <c r="F76">
        <v>1554</v>
      </c>
      <c r="G76">
        <v>455</v>
      </c>
      <c r="H76">
        <v>158</v>
      </c>
      <c r="I76">
        <v>41947</v>
      </c>
      <c r="J76">
        <v>48578</v>
      </c>
      <c r="K76">
        <v>101</v>
      </c>
      <c r="L76" t="s">
        <v>45</v>
      </c>
      <c r="M76" t="s">
        <v>42</v>
      </c>
      <c r="N76" t="s">
        <v>18</v>
      </c>
    </row>
    <row r="77" spans="1:14">
      <c r="A77" t="s">
        <v>116</v>
      </c>
      <c r="B77" t="s">
        <v>14</v>
      </c>
      <c r="C77" s="7">
        <v>45487</v>
      </c>
      <c r="D77" t="s">
        <v>15</v>
      </c>
      <c r="E77" t="s">
        <v>29</v>
      </c>
      <c r="F77">
        <v>2464</v>
      </c>
      <c r="G77">
        <v>401</v>
      </c>
      <c r="H77">
        <v>78</v>
      </c>
      <c r="I77">
        <v>38665</v>
      </c>
      <c r="J77">
        <v>73593</v>
      </c>
      <c r="K77">
        <v>207</v>
      </c>
      <c r="L77" t="s">
        <v>21</v>
      </c>
      <c r="M77" t="s">
        <v>375</v>
      </c>
      <c r="N77" t="s">
        <v>22</v>
      </c>
    </row>
    <row r="78" spans="1:14">
      <c r="A78" t="s">
        <v>117</v>
      </c>
      <c r="B78" t="s">
        <v>24</v>
      </c>
      <c r="C78" s="7">
        <v>45805</v>
      </c>
      <c r="D78" t="s">
        <v>15</v>
      </c>
      <c r="E78" t="s">
        <v>49</v>
      </c>
      <c r="F78">
        <v>2418</v>
      </c>
      <c r="G78">
        <v>161</v>
      </c>
      <c r="H78">
        <v>360</v>
      </c>
      <c r="I78">
        <v>30589</v>
      </c>
      <c r="J78">
        <v>41383</v>
      </c>
      <c r="K78">
        <v>88</v>
      </c>
      <c r="L78" t="s">
        <v>42</v>
      </c>
      <c r="M78" t="s">
        <v>375</v>
      </c>
      <c r="N78" t="s">
        <v>18</v>
      </c>
    </row>
    <row r="79" spans="1:14">
      <c r="A79" t="s">
        <v>118</v>
      </c>
      <c r="B79" t="s">
        <v>24</v>
      </c>
      <c r="C79" s="7">
        <v>45678</v>
      </c>
      <c r="D79" t="s">
        <v>25</v>
      </c>
      <c r="E79" t="s">
        <v>16</v>
      </c>
      <c r="F79">
        <v>2494</v>
      </c>
      <c r="G79">
        <v>494</v>
      </c>
      <c r="H79">
        <v>55</v>
      </c>
      <c r="I79">
        <v>22580</v>
      </c>
      <c r="J79">
        <v>22214</v>
      </c>
      <c r="K79">
        <v>109</v>
      </c>
      <c r="L79" t="s">
        <v>376</v>
      </c>
      <c r="M79" t="s">
        <v>42</v>
      </c>
      <c r="N79" t="s">
        <v>18</v>
      </c>
    </row>
    <row r="80" spans="1:14">
      <c r="A80" t="s">
        <v>119</v>
      </c>
      <c r="B80" t="s">
        <v>31</v>
      </c>
      <c r="C80" s="7">
        <v>45304</v>
      </c>
      <c r="D80" t="s">
        <v>57</v>
      </c>
      <c r="E80" t="s">
        <v>26</v>
      </c>
      <c r="F80">
        <v>4781</v>
      </c>
      <c r="G80">
        <v>191</v>
      </c>
      <c r="H80">
        <v>122</v>
      </c>
      <c r="I80">
        <v>35535</v>
      </c>
      <c r="J80">
        <v>50777</v>
      </c>
      <c r="K80">
        <v>128</v>
      </c>
      <c r="L80" t="s">
        <v>21</v>
      </c>
      <c r="M80" t="s">
        <v>45</v>
      </c>
      <c r="N80" t="s">
        <v>59</v>
      </c>
    </row>
    <row r="81" spans="1:14">
      <c r="A81" t="s">
        <v>120</v>
      </c>
      <c r="B81" t="s">
        <v>14</v>
      </c>
      <c r="C81" s="7">
        <v>45825</v>
      </c>
      <c r="D81" t="s">
        <v>15</v>
      </c>
      <c r="E81" t="s">
        <v>32</v>
      </c>
      <c r="F81">
        <v>2284</v>
      </c>
      <c r="G81">
        <v>187</v>
      </c>
      <c r="H81">
        <v>260</v>
      </c>
      <c r="I81">
        <v>37400</v>
      </c>
      <c r="J81">
        <v>65014</v>
      </c>
      <c r="K81">
        <v>157</v>
      </c>
      <c r="L81" t="s">
        <v>45</v>
      </c>
      <c r="M81" t="s">
        <v>42</v>
      </c>
      <c r="N81" t="s">
        <v>18</v>
      </c>
    </row>
    <row r="82" spans="1:14">
      <c r="A82" t="s">
        <v>121</v>
      </c>
      <c r="B82" t="s">
        <v>24</v>
      </c>
      <c r="C82" s="7">
        <v>45723</v>
      </c>
      <c r="D82" t="s">
        <v>15</v>
      </c>
      <c r="E82" t="s">
        <v>37</v>
      </c>
      <c r="F82">
        <v>4234</v>
      </c>
      <c r="G82">
        <v>486</v>
      </c>
      <c r="H82">
        <v>276</v>
      </c>
      <c r="I82">
        <v>56623</v>
      </c>
      <c r="J82">
        <v>41343</v>
      </c>
      <c r="K82">
        <v>184</v>
      </c>
      <c r="L82" t="s">
        <v>45</v>
      </c>
      <c r="M82" t="s">
        <v>375</v>
      </c>
      <c r="N82" t="s">
        <v>22</v>
      </c>
    </row>
    <row r="83" spans="1:14">
      <c r="A83" t="s">
        <v>122</v>
      </c>
      <c r="B83" t="s">
        <v>14</v>
      </c>
      <c r="C83" s="7">
        <v>45530</v>
      </c>
      <c r="D83" t="s">
        <v>15</v>
      </c>
      <c r="E83" t="s">
        <v>51</v>
      </c>
      <c r="F83">
        <v>2102</v>
      </c>
      <c r="G83">
        <v>181</v>
      </c>
      <c r="H83">
        <v>306</v>
      </c>
      <c r="I83">
        <v>43650</v>
      </c>
      <c r="J83">
        <v>50079</v>
      </c>
      <c r="K83">
        <v>182</v>
      </c>
      <c r="L83" t="s">
        <v>21</v>
      </c>
      <c r="M83" t="s">
        <v>375</v>
      </c>
      <c r="N83" t="s">
        <v>22</v>
      </c>
    </row>
    <row r="84" spans="1:14">
      <c r="A84" t="s">
        <v>123</v>
      </c>
      <c r="B84" t="s">
        <v>24</v>
      </c>
      <c r="C84" s="7">
        <v>45660</v>
      </c>
      <c r="D84" t="s">
        <v>25</v>
      </c>
      <c r="E84" t="s">
        <v>37</v>
      </c>
      <c r="F84">
        <v>4845</v>
      </c>
      <c r="G84">
        <v>158</v>
      </c>
      <c r="H84">
        <v>84</v>
      </c>
      <c r="I84">
        <v>34578</v>
      </c>
      <c r="J84">
        <v>51480</v>
      </c>
      <c r="K84">
        <v>180</v>
      </c>
      <c r="L84" t="s">
        <v>45</v>
      </c>
      <c r="M84" t="s">
        <v>42</v>
      </c>
      <c r="N84" t="s">
        <v>18</v>
      </c>
    </row>
    <row r="85" spans="1:14">
      <c r="A85" t="s">
        <v>124</v>
      </c>
      <c r="B85" t="s">
        <v>24</v>
      </c>
      <c r="C85" s="7">
        <v>45507</v>
      </c>
      <c r="D85" t="s">
        <v>15</v>
      </c>
      <c r="E85" t="s">
        <v>51</v>
      </c>
      <c r="F85">
        <v>4247</v>
      </c>
      <c r="G85">
        <v>390</v>
      </c>
      <c r="H85">
        <v>213</v>
      </c>
      <c r="I85">
        <v>29785</v>
      </c>
      <c r="J85">
        <v>57768</v>
      </c>
      <c r="K85">
        <v>122</v>
      </c>
      <c r="L85" t="s">
        <v>42</v>
      </c>
      <c r="M85" t="s">
        <v>375</v>
      </c>
      <c r="N85" t="s">
        <v>18</v>
      </c>
    </row>
    <row r="86" spans="1:14">
      <c r="A86" t="s">
        <v>125</v>
      </c>
      <c r="B86" t="s">
        <v>14</v>
      </c>
      <c r="C86" s="7">
        <v>45522</v>
      </c>
      <c r="D86" t="s">
        <v>15</v>
      </c>
      <c r="E86" t="s">
        <v>20</v>
      </c>
      <c r="F86">
        <v>2965</v>
      </c>
      <c r="G86">
        <v>328</v>
      </c>
      <c r="H86">
        <v>171</v>
      </c>
      <c r="I86">
        <v>57685</v>
      </c>
      <c r="J86">
        <v>67536</v>
      </c>
      <c r="K86">
        <v>264</v>
      </c>
      <c r="L86" t="s">
        <v>45</v>
      </c>
      <c r="M86" t="s">
        <v>42</v>
      </c>
      <c r="N86" t="s">
        <v>18</v>
      </c>
    </row>
    <row r="87" spans="1:14">
      <c r="A87" t="s">
        <v>126</v>
      </c>
      <c r="B87" t="s">
        <v>24</v>
      </c>
      <c r="C87" s="7">
        <v>45791</v>
      </c>
      <c r="D87" t="s">
        <v>25</v>
      </c>
      <c r="E87" t="s">
        <v>29</v>
      </c>
      <c r="F87">
        <v>1371</v>
      </c>
      <c r="G87">
        <v>139</v>
      </c>
      <c r="H87">
        <v>96</v>
      </c>
      <c r="I87">
        <v>36140</v>
      </c>
      <c r="J87">
        <v>39395</v>
      </c>
      <c r="K87">
        <v>169</v>
      </c>
      <c r="L87" t="s">
        <v>45</v>
      </c>
      <c r="M87" t="s">
        <v>42</v>
      </c>
      <c r="N87" t="s">
        <v>18</v>
      </c>
    </row>
    <row r="88" spans="1:14">
      <c r="A88" t="s">
        <v>127</v>
      </c>
      <c r="B88" t="s">
        <v>24</v>
      </c>
      <c r="C88" s="7">
        <v>45405</v>
      </c>
      <c r="D88" t="s">
        <v>25</v>
      </c>
      <c r="E88" t="s">
        <v>16</v>
      </c>
      <c r="F88">
        <v>2683</v>
      </c>
      <c r="G88">
        <v>496</v>
      </c>
      <c r="H88">
        <v>89</v>
      </c>
      <c r="I88">
        <v>53435</v>
      </c>
      <c r="J88">
        <v>30334</v>
      </c>
      <c r="K88">
        <v>160</v>
      </c>
      <c r="L88" t="s">
        <v>45</v>
      </c>
      <c r="M88" t="s">
        <v>42</v>
      </c>
      <c r="N88" t="s">
        <v>18</v>
      </c>
    </row>
    <row r="89" spans="1:14">
      <c r="A89" t="s">
        <v>128</v>
      </c>
      <c r="B89" t="s">
        <v>24</v>
      </c>
      <c r="C89" s="7">
        <v>45705</v>
      </c>
      <c r="D89" t="s">
        <v>25</v>
      </c>
      <c r="E89" t="s">
        <v>35</v>
      </c>
      <c r="F89">
        <v>4796</v>
      </c>
      <c r="G89">
        <v>427</v>
      </c>
      <c r="H89">
        <v>339</v>
      </c>
      <c r="I89">
        <v>30752</v>
      </c>
      <c r="J89">
        <v>33870</v>
      </c>
      <c r="K89">
        <v>298</v>
      </c>
      <c r="L89" t="s">
        <v>45</v>
      </c>
      <c r="M89" t="s">
        <v>42</v>
      </c>
      <c r="N89" t="s">
        <v>18</v>
      </c>
    </row>
    <row r="90" spans="1:14">
      <c r="A90" t="s">
        <v>129</v>
      </c>
      <c r="B90" t="s">
        <v>14</v>
      </c>
      <c r="C90" s="7">
        <v>45630</v>
      </c>
      <c r="D90" t="s">
        <v>15</v>
      </c>
      <c r="E90" t="s">
        <v>29</v>
      </c>
      <c r="F90">
        <v>2601</v>
      </c>
      <c r="G90">
        <v>336</v>
      </c>
      <c r="H90">
        <v>260</v>
      </c>
      <c r="I90">
        <v>32368</v>
      </c>
      <c r="J90">
        <v>49028</v>
      </c>
      <c r="K90">
        <v>120</v>
      </c>
      <c r="L90" t="s">
        <v>45</v>
      </c>
      <c r="M90" t="s">
        <v>42</v>
      </c>
      <c r="N90" t="s">
        <v>18</v>
      </c>
    </row>
    <row r="91" spans="1:14">
      <c r="A91" t="s">
        <v>130</v>
      </c>
      <c r="B91" t="s">
        <v>24</v>
      </c>
      <c r="C91" s="7">
        <v>45495</v>
      </c>
      <c r="D91" t="s">
        <v>25</v>
      </c>
      <c r="E91" t="s">
        <v>29</v>
      </c>
      <c r="F91">
        <v>3336</v>
      </c>
      <c r="G91">
        <v>229</v>
      </c>
      <c r="H91">
        <v>337</v>
      </c>
      <c r="I91">
        <v>22117</v>
      </c>
      <c r="J91">
        <v>26205</v>
      </c>
      <c r="K91">
        <v>160</v>
      </c>
      <c r="L91" t="s">
        <v>376</v>
      </c>
      <c r="M91" t="s">
        <v>42</v>
      </c>
      <c r="N91" t="s">
        <v>18</v>
      </c>
    </row>
    <row r="92" spans="1:14">
      <c r="A92" t="s">
        <v>131</v>
      </c>
      <c r="B92" t="s">
        <v>24</v>
      </c>
      <c r="C92" s="7">
        <v>45774</v>
      </c>
      <c r="D92" t="s">
        <v>15</v>
      </c>
      <c r="E92" t="s">
        <v>20</v>
      </c>
      <c r="F92">
        <v>1165</v>
      </c>
      <c r="G92">
        <v>294</v>
      </c>
      <c r="H92">
        <v>163</v>
      </c>
      <c r="I92">
        <v>20659</v>
      </c>
      <c r="J92">
        <v>45926</v>
      </c>
      <c r="K92">
        <v>111</v>
      </c>
      <c r="L92" t="s">
        <v>45</v>
      </c>
      <c r="M92" t="s">
        <v>375</v>
      </c>
      <c r="N92" t="s">
        <v>22</v>
      </c>
    </row>
    <row r="93" spans="1:14">
      <c r="A93" t="s">
        <v>132</v>
      </c>
      <c r="B93" t="s">
        <v>31</v>
      </c>
      <c r="C93" s="7">
        <v>45376</v>
      </c>
      <c r="D93" t="s">
        <v>57</v>
      </c>
      <c r="E93" t="s">
        <v>20</v>
      </c>
      <c r="F93">
        <v>1948</v>
      </c>
      <c r="G93">
        <v>155</v>
      </c>
      <c r="H93">
        <v>315</v>
      </c>
      <c r="I93">
        <v>30321</v>
      </c>
      <c r="J93">
        <v>57121</v>
      </c>
      <c r="K93">
        <v>82</v>
      </c>
      <c r="L93" t="s">
        <v>21</v>
      </c>
      <c r="M93" t="s">
        <v>45</v>
      </c>
      <c r="N93" t="s">
        <v>59</v>
      </c>
    </row>
    <row r="94" spans="1:14">
      <c r="A94" t="s">
        <v>133</v>
      </c>
      <c r="B94" t="s">
        <v>14</v>
      </c>
      <c r="C94" s="7">
        <v>45351</v>
      </c>
      <c r="D94" t="s">
        <v>15</v>
      </c>
      <c r="E94" t="s">
        <v>49</v>
      </c>
      <c r="F94">
        <v>1100</v>
      </c>
      <c r="G94">
        <v>229</v>
      </c>
      <c r="H94">
        <v>312</v>
      </c>
      <c r="I94">
        <v>25641</v>
      </c>
      <c r="J94">
        <v>34601</v>
      </c>
      <c r="K94">
        <v>169</v>
      </c>
      <c r="L94" t="s">
        <v>21</v>
      </c>
      <c r="M94" t="s">
        <v>375</v>
      </c>
      <c r="N94" t="s">
        <v>22</v>
      </c>
    </row>
    <row r="95" spans="1:14">
      <c r="A95" t="s">
        <v>134</v>
      </c>
      <c r="B95" t="s">
        <v>24</v>
      </c>
      <c r="C95" s="7">
        <v>45609</v>
      </c>
      <c r="D95" t="s">
        <v>25</v>
      </c>
      <c r="E95" t="s">
        <v>41</v>
      </c>
      <c r="F95">
        <v>4628</v>
      </c>
      <c r="G95">
        <v>257</v>
      </c>
      <c r="H95">
        <v>397</v>
      </c>
      <c r="I95">
        <v>36686</v>
      </c>
      <c r="J95">
        <v>54683</v>
      </c>
      <c r="K95">
        <v>98</v>
      </c>
      <c r="L95" t="s">
        <v>45</v>
      </c>
      <c r="M95" t="s">
        <v>42</v>
      </c>
      <c r="N95" t="s">
        <v>18</v>
      </c>
    </row>
    <row r="96" spans="1:14">
      <c r="A96" t="s">
        <v>135</v>
      </c>
      <c r="B96" t="s">
        <v>14</v>
      </c>
      <c r="C96" s="7">
        <v>45373</v>
      </c>
      <c r="D96" t="s">
        <v>25</v>
      </c>
      <c r="E96" t="s">
        <v>16</v>
      </c>
      <c r="F96">
        <v>2319</v>
      </c>
      <c r="G96">
        <v>484</v>
      </c>
      <c r="H96">
        <v>193</v>
      </c>
      <c r="I96">
        <v>21202</v>
      </c>
      <c r="J96">
        <v>18091</v>
      </c>
      <c r="K96">
        <v>241</v>
      </c>
      <c r="L96" t="s">
        <v>42</v>
      </c>
      <c r="M96" t="s">
        <v>375</v>
      </c>
      <c r="N96" t="s">
        <v>55</v>
      </c>
    </row>
    <row r="97" spans="1:14">
      <c r="A97" t="s">
        <v>136</v>
      </c>
      <c r="B97" t="s">
        <v>24</v>
      </c>
      <c r="C97" s="7">
        <v>45367</v>
      </c>
      <c r="D97" t="s">
        <v>25</v>
      </c>
      <c r="E97" t="s">
        <v>29</v>
      </c>
      <c r="F97">
        <v>2895</v>
      </c>
      <c r="G97">
        <v>292</v>
      </c>
      <c r="H97">
        <v>90</v>
      </c>
      <c r="I97">
        <v>24223</v>
      </c>
      <c r="J97">
        <v>54626</v>
      </c>
      <c r="K97">
        <v>114</v>
      </c>
      <c r="L97" t="s">
        <v>45</v>
      </c>
      <c r="M97" t="s">
        <v>42</v>
      </c>
      <c r="N97" t="s">
        <v>18</v>
      </c>
    </row>
    <row r="98" spans="1:14">
      <c r="A98" t="s">
        <v>137</v>
      </c>
      <c r="B98" t="s">
        <v>14</v>
      </c>
      <c r="C98" s="7">
        <v>45317</v>
      </c>
      <c r="D98" t="s">
        <v>15</v>
      </c>
      <c r="E98" t="s">
        <v>35</v>
      </c>
      <c r="F98">
        <v>3878</v>
      </c>
      <c r="G98">
        <v>431</v>
      </c>
      <c r="H98">
        <v>97</v>
      </c>
      <c r="I98">
        <v>41763</v>
      </c>
      <c r="J98">
        <v>29729</v>
      </c>
      <c r="K98">
        <v>191</v>
      </c>
      <c r="L98" t="s">
        <v>21</v>
      </c>
      <c r="M98" t="s">
        <v>375</v>
      </c>
      <c r="N98" t="s">
        <v>22</v>
      </c>
    </row>
    <row r="99" spans="1:14">
      <c r="A99" t="s">
        <v>138</v>
      </c>
      <c r="B99" t="s">
        <v>24</v>
      </c>
      <c r="C99" s="7">
        <v>45366</v>
      </c>
      <c r="D99" t="s">
        <v>25</v>
      </c>
      <c r="E99" t="s">
        <v>37</v>
      </c>
      <c r="F99">
        <v>4969</v>
      </c>
      <c r="G99">
        <v>433</v>
      </c>
      <c r="H99">
        <v>237</v>
      </c>
      <c r="I99">
        <v>59552</v>
      </c>
      <c r="J99">
        <v>23885</v>
      </c>
      <c r="K99">
        <v>157</v>
      </c>
      <c r="L99" t="s">
        <v>21</v>
      </c>
      <c r="M99" t="s">
        <v>376</v>
      </c>
      <c r="N99" t="s">
        <v>18</v>
      </c>
    </row>
    <row r="100" spans="1:14">
      <c r="A100" t="s">
        <v>139</v>
      </c>
      <c r="B100" t="s">
        <v>24</v>
      </c>
      <c r="C100" s="7">
        <v>45580</v>
      </c>
      <c r="D100" t="s">
        <v>15</v>
      </c>
      <c r="E100" t="s">
        <v>29</v>
      </c>
      <c r="F100">
        <v>1984</v>
      </c>
      <c r="G100">
        <v>481</v>
      </c>
      <c r="H100">
        <v>356</v>
      </c>
      <c r="I100">
        <v>40681</v>
      </c>
      <c r="J100">
        <v>63111</v>
      </c>
      <c r="K100">
        <v>258</v>
      </c>
      <c r="L100" t="s">
        <v>42</v>
      </c>
      <c r="M100" t="s">
        <v>375</v>
      </c>
      <c r="N100" t="s">
        <v>18</v>
      </c>
    </row>
    <row r="101" spans="1:14">
      <c r="A101" t="s">
        <v>140</v>
      </c>
      <c r="B101" t="s">
        <v>14</v>
      </c>
      <c r="C101" s="7">
        <v>45494</v>
      </c>
      <c r="D101" t="s">
        <v>15</v>
      </c>
      <c r="E101" t="s">
        <v>16</v>
      </c>
      <c r="F101">
        <v>3004</v>
      </c>
      <c r="G101">
        <v>415</v>
      </c>
      <c r="H101">
        <v>218</v>
      </c>
      <c r="I101">
        <v>36090</v>
      </c>
      <c r="J101">
        <v>37073</v>
      </c>
      <c r="K101">
        <v>181</v>
      </c>
      <c r="L101" t="s">
        <v>21</v>
      </c>
      <c r="M101" t="s">
        <v>375</v>
      </c>
      <c r="N101" t="s">
        <v>22</v>
      </c>
    </row>
    <row r="102" spans="1:14">
      <c r="A102" t="s">
        <v>141</v>
      </c>
      <c r="B102" t="s">
        <v>24</v>
      </c>
      <c r="C102" s="7">
        <v>45577</v>
      </c>
      <c r="D102" t="s">
        <v>15</v>
      </c>
      <c r="E102" t="s">
        <v>37</v>
      </c>
      <c r="F102">
        <v>3169</v>
      </c>
      <c r="G102">
        <v>386</v>
      </c>
      <c r="H102">
        <v>175</v>
      </c>
      <c r="I102">
        <v>45012</v>
      </c>
      <c r="J102">
        <v>38508</v>
      </c>
      <c r="K102">
        <v>218</v>
      </c>
      <c r="L102" t="s">
        <v>42</v>
      </c>
      <c r="M102" t="s">
        <v>375</v>
      </c>
      <c r="N102" t="s">
        <v>18</v>
      </c>
    </row>
    <row r="103" spans="1:14">
      <c r="A103" t="s">
        <v>142</v>
      </c>
      <c r="B103" t="s">
        <v>24</v>
      </c>
      <c r="C103" s="7">
        <v>45591</v>
      </c>
      <c r="D103" t="s">
        <v>15</v>
      </c>
      <c r="E103" t="s">
        <v>16</v>
      </c>
      <c r="F103">
        <v>3036</v>
      </c>
      <c r="G103">
        <v>293</v>
      </c>
      <c r="H103">
        <v>115</v>
      </c>
      <c r="I103">
        <v>23776</v>
      </c>
      <c r="J103">
        <v>46386</v>
      </c>
      <c r="K103">
        <v>282</v>
      </c>
      <c r="L103" t="s">
        <v>42</v>
      </c>
      <c r="M103" t="s">
        <v>375</v>
      </c>
      <c r="N103" t="s">
        <v>18</v>
      </c>
    </row>
    <row r="104" spans="1:14">
      <c r="A104" t="s">
        <v>143</v>
      </c>
      <c r="B104" t="s">
        <v>14</v>
      </c>
      <c r="C104" s="7">
        <v>45336</v>
      </c>
      <c r="D104" t="s">
        <v>15</v>
      </c>
      <c r="E104" t="s">
        <v>32</v>
      </c>
      <c r="F104">
        <v>1830</v>
      </c>
      <c r="G104">
        <v>112</v>
      </c>
      <c r="H104">
        <v>181</v>
      </c>
      <c r="I104">
        <v>31870</v>
      </c>
      <c r="J104">
        <v>55742</v>
      </c>
      <c r="K104">
        <v>263</v>
      </c>
      <c r="L104" t="s">
        <v>45</v>
      </c>
      <c r="M104" t="s">
        <v>42</v>
      </c>
      <c r="N104" t="s">
        <v>18</v>
      </c>
    </row>
    <row r="105" spans="1:14">
      <c r="A105" t="s">
        <v>144</v>
      </c>
      <c r="B105" t="s">
        <v>24</v>
      </c>
      <c r="C105" s="7">
        <v>45413</v>
      </c>
      <c r="D105" t="s">
        <v>25</v>
      </c>
      <c r="E105" t="s">
        <v>35</v>
      </c>
      <c r="F105">
        <v>2587</v>
      </c>
      <c r="G105">
        <v>447</v>
      </c>
      <c r="H105">
        <v>183</v>
      </c>
      <c r="I105">
        <v>36266</v>
      </c>
      <c r="J105">
        <v>32877</v>
      </c>
      <c r="K105">
        <v>132</v>
      </c>
      <c r="L105" t="s">
        <v>21</v>
      </c>
      <c r="M105" t="s">
        <v>376</v>
      </c>
      <c r="N105" t="s">
        <v>18</v>
      </c>
    </row>
    <row r="106" spans="1:14">
      <c r="A106" t="s">
        <v>145</v>
      </c>
      <c r="B106" t="s">
        <v>24</v>
      </c>
      <c r="C106" s="7">
        <v>45553</v>
      </c>
      <c r="D106" t="s">
        <v>15</v>
      </c>
      <c r="E106" t="s">
        <v>16</v>
      </c>
      <c r="F106">
        <v>2878</v>
      </c>
      <c r="G106">
        <v>265</v>
      </c>
      <c r="H106">
        <v>91</v>
      </c>
      <c r="I106">
        <v>52090</v>
      </c>
      <c r="J106">
        <v>28924</v>
      </c>
      <c r="K106">
        <v>133</v>
      </c>
      <c r="L106" t="s">
        <v>42</v>
      </c>
      <c r="M106" t="s">
        <v>375</v>
      </c>
      <c r="N106" t="s">
        <v>18</v>
      </c>
    </row>
    <row r="107" spans="1:14">
      <c r="A107" t="s">
        <v>146</v>
      </c>
      <c r="B107" t="s">
        <v>24</v>
      </c>
      <c r="C107" s="7">
        <v>45677</v>
      </c>
      <c r="D107" t="s">
        <v>25</v>
      </c>
      <c r="E107" t="s">
        <v>26</v>
      </c>
      <c r="F107">
        <v>4619</v>
      </c>
      <c r="G107">
        <v>272</v>
      </c>
      <c r="H107">
        <v>57</v>
      </c>
      <c r="I107">
        <v>21334</v>
      </c>
      <c r="J107">
        <v>46292</v>
      </c>
      <c r="K107">
        <v>91</v>
      </c>
      <c r="L107" t="s">
        <v>45</v>
      </c>
      <c r="M107" t="s">
        <v>42</v>
      </c>
      <c r="N107" t="s">
        <v>18</v>
      </c>
    </row>
    <row r="108" spans="1:14">
      <c r="A108" t="s">
        <v>147</v>
      </c>
      <c r="B108" t="s">
        <v>24</v>
      </c>
      <c r="C108" s="7">
        <v>45670</v>
      </c>
      <c r="D108" t="s">
        <v>15</v>
      </c>
      <c r="E108" t="s">
        <v>32</v>
      </c>
      <c r="F108">
        <v>4090</v>
      </c>
      <c r="G108">
        <v>209</v>
      </c>
      <c r="H108">
        <v>278</v>
      </c>
      <c r="I108">
        <v>52853</v>
      </c>
      <c r="J108">
        <v>57084</v>
      </c>
      <c r="K108">
        <v>102</v>
      </c>
      <c r="L108" t="s">
        <v>45</v>
      </c>
      <c r="M108" t="s">
        <v>375</v>
      </c>
      <c r="N108" t="s">
        <v>22</v>
      </c>
    </row>
    <row r="109" spans="1:14">
      <c r="A109" t="s">
        <v>148</v>
      </c>
      <c r="B109" t="s">
        <v>31</v>
      </c>
      <c r="C109" s="7">
        <v>45542</v>
      </c>
      <c r="D109" t="s">
        <v>57</v>
      </c>
      <c r="E109" t="s">
        <v>32</v>
      </c>
      <c r="F109">
        <v>3882</v>
      </c>
      <c r="G109">
        <v>342</v>
      </c>
      <c r="H109">
        <v>374</v>
      </c>
      <c r="I109">
        <v>41991</v>
      </c>
      <c r="J109">
        <v>48554</v>
      </c>
      <c r="K109">
        <v>118</v>
      </c>
      <c r="L109" t="s">
        <v>21</v>
      </c>
      <c r="M109" t="s">
        <v>45</v>
      </c>
      <c r="N109" t="s">
        <v>59</v>
      </c>
    </row>
    <row r="110" spans="1:14">
      <c r="A110" t="s">
        <v>149</v>
      </c>
      <c r="B110" t="s">
        <v>14</v>
      </c>
      <c r="C110" s="7">
        <v>45617</v>
      </c>
      <c r="D110" t="s">
        <v>15</v>
      </c>
      <c r="E110" t="s">
        <v>32</v>
      </c>
      <c r="F110">
        <v>4581</v>
      </c>
      <c r="G110">
        <v>181</v>
      </c>
      <c r="H110">
        <v>112</v>
      </c>
      <c r="I110">
        <v>35221</v>
      </c>
      <c r="J110">
        <v>28797</v>
      </c>
      <c r="K110">
        <v>164</v>
      </c>
      <c r="L110" t="s">
        <v>45</v>
      </c>
      <c r="M110" t="s">
        <v>42</v>
      </c>
      <c r="N110" t="s">
        <v>18</v>
      </c>
    </row>
    <row r="111" spans="1:14">
      <c r="A111" t="s">
        <v>150</v>
      </c>
      <c r="B111" t="s">
        <v>14</v>
      </c>
      <c r="C111" s="7">
        <v>45469</v>
      </c>
      <c r="D111" t="s">
        <v>15</v>
      </c>
      <c r="E111" t="s">
        <v>26</v>
      </c>
      <c r="F111">
        <v>3253</v>
      </c>
      <c r="G111">
        <v>483</v>
      </c>
      <c r="H111">
        <v>336</v>
      </c>
      <c r="I111">
        <v>25397</v>
      </c>
      <c r="J111">
        <v>51485</v>
      </c>
      <c r="K111">
        <v>131</v>
      </c>
      <c r="L111" t="s">
        <v>21</v>
      </c>
      <c r="M111" t="s">
        <v>375</v>
      </c>
      <c r="N111" t="s">
        <v>22</v>
      </c>
    </row>
    <row r="112" spans="1:14">
      <c r="A112" t="s">
        <v>151</v>
      </c>
      <c r="B112" t="s">
        <v>31</v>
      </c>
      <c r="C112" s="7">
        <v>45493</v>
      </c>
      <c r="D112" t="s">
        <v>57</v>
      </c>
      <c r="E112" t="s">
        <v>32</v>
      </c>
      <c r="F112">
        <v>4955</v>
      </c>
      <c r="G112">
        <v>299</v>
      </c>
      <c r="H112">
        <v>345</v>
      </c>
      <c r="I112">
        <v>33644</v>
      </c>
      <c r="J112">
        <v>43547</v>
      </c>
      <c r="K112">
        <v>194</v>
      </c>
      <c r="L112" t="s">
        <v>21</v>
      </c>
      <c r="M112" t="s">
        <v>45</v>
      </c>
      <c r="N112" t="s">
        <v>59</v>
      </c>
    </row>
    <row r="113" spans="1:14">
      <c r="A113" t="s">
        <v>152</v>
      </c>
      <c r="B113" t="s">
        <v>14</v>
      </c>
      <c r="C113" s="7">
        <v>45704</v>
      </c>
      <c r="D113" t="s">
        <v>15</v>
      </c>
      <c r="E113" t="s">
        <v>51</v>
      </c>
      <c r="F113">
        <v>1333</v>
      </c>
      <c r="G113">
        <v>286</v>
      </c>
      <c r="H113">
        <v>298</v>
      </c>
      <c r="I113">
        <v>36174</v>
      </c>
      <c r="J113">
        <v>34517</v>
      </c>
      <c r="K113">
        <v>170</v>
      </c>
      <c r="L113" t="s">
        <v>45</v>
      </c>
      <c r="M113" t="s">
        <v>42</v>
      </c>
      <c r="N113" t="s">
        <v>18</v>
      </c>
    </row>
    <row r="114" spans="1:14">
      <c r="A114" t="s">
        <v>153</v>
      </c>
      <c r="B114" t="s">
        <v>14</v>
      </c>
      <c r="C114" s="7">
        <v>45544</v>
      </c>
      <c r="D114" t="s">
        <v>15</v>
      </c>
      <c r="E114" t="s">
        <v>26</v>
      </c>
      <c r="F114">
        <v>1616</v>
      </c>
      <c r="G114">
        <v>360</v>
      </c>
      <c r="H114">
        <v>180</v>
      </c>
      <c r="I114">
        <v>54342</v>
      </c>
      <c r="J114">
        <v>18796</v>
      </c>
      <c r="K114">
        <v>282</v>
      </c>
      <c r="L114" t="s">
        <v>45</v>
      </c>
      <c r="M114" t="s">
        <v>42</v>
      </c>
      <c r="N114" t="s">
        <v>18</v>
      </c>
    </row>
    <row r="115" spans="1:14">
      <c r="A115" t="s">
        <v>154</v>
      </c>
      <c r="B115" t="s">
        <v>24</v>
      </c>
      <c r="C115" s="7">
        <v>45489</v>
      </c>
      <c r="D115" t="s">
        <v>15</v>
      </c>
      <c r="E115" t="s">
        <v>41</v>
      </c>
      <c r="F115">
        <v>1803</v>
      </c>
      <c r="G115">
        <v>273</v>
      </c>
      <c r="H115">
        <v>287</v>
      </c>
      <c r="I115">
        <v>46176</v>
      </c>
      <c r="J115">
        <v>25488</v>
      </c>
      <c r="K115">
        <v>141</v>
      </c>
      <c r="L115" t="s">
        <v>42</v>
      </c>
      <c r="M115" t="s">
        <v>375</v>
      </c>
      <c r="N115" t="s">
        <v>18</v>
      </c>
    </row>
    <row r="116" spans="1:14">
      <c r="A116" t="s">
        <v>155</v>
      </c>
      <c r="B116" t="s">
        <v>14</v>
      </c>
      <c r="C116" s="7">
        <v>45762</v>
      </c>
      <c r="D116" t="s">
        <v>15</v>
      </c>
      <c r="E116" t="s">
        <v>20</v>
      </c>
      <c r="F116">
        <v>4177</v>
      </c>
      <c r="G116">
        <v>489</v>
      </c>
      <c r="H116">
        <v>331</v>
      </c>
      <c r="I116">
        <v>57451</v>
      </c>
      <c r="J116">
        <v>73793</v>
      </c>
      <c r="K116">
        <v>251</v>
      </c>
      <c r="L116" t="s">
        <v>21</v>
      </c>
      <c r="M116" t="s">
        <v>375</v>
      </c>
      <c r="N116" t="s">
        <v>22</v>
      </c>
    </row>
    <row r="117" spans="1:14">
      <c r="A117" t="s">
        <v>156</v>
      </c>
      <c r="B117" t="s">
        <v>14</v>
      </c>
      <c r="C117" s="7">
        <v>45781</v>
      </c>
      <c r="D117" t="s">
        <v>25</v>
      </c>
      <c r="E117" t="s">
        <v>26</v>
      </c>
      <c r="F117">
        <v>1311</v>
      </c>
      <c r="G117">
        <v>181</v>
      </c>
      <c r="H117">
        <v>361</v>
      </c>
      <c r="I117">
        <v>37148</v>
      </c>
      <c r="J117">
        <v>44875</v>
      </c>
      <c r="K117">
        <v>245</v>
      </c>
      <c r="L117" t="s">
        <v>42</v>
      </c>
      <c r="M117" t="s">
        <v>375</v>
      </c>
      <c r="N117" t="s">
        <v>55</v>
      </c>
    </row>
    <row r="118" spans="1:14">
      <c r="A118" t="s">
        <v>157</v>
      </c>
      <c r="B118" t="s">
        <v>14</v>
      </c>
      <c r="C118" s="7">
        <v>45340</v>
      </c>
      <c r="D118" t="s">
        <v>25</v>
      </c>
      <c r="E118" t="s">
        <v>49</v>
      </c>
      <c r="F118">
        <v>1516</v>
      </c>
      <c r="G118">
        <v>215</v>
      </c>
      <c r="H118">
        <v>332</v>
      </c>
      <c r="I118">
        <v>58981</v>
      </c>
      <c r="J118">
        <v>36118</v>
      </c>
      <c r="K118">
        <v>211</v>
      </c>
      <c r="L118" t="s">
        <v>42</v>
      </c>
      <c r="M118" t="s">
        <v>375</v>
      </c>
      <c r="N118" t="s">
        <v>55</v>
      </c>
    </row>
    <row r="119" spans="1:14">
      <c r="A119" t="s">
        <v>158</v>
      </c>
      <c r="B119" t="s">
        <v>24</v>
      </c>
      <c r="C119" s="7">
        <v>45428</v>
      </c>
      <c r="D119" t="s">
        <v>25</v>
      </c>
      <c r="E119" t="s">
        <v>32</v>
      </c>
      <c r="F119">
        <v>2023</v>
      </c>
      <c r="G119">
        <v>124</v>
      </c>
      <c r="H119">
        <v>99</v>
      </c>
      <c r="I119">
        <v>54524</v>
      </c>
      <c r="J119">
        <v>34790</v>
      </c>
      <c r="K119">
        <v>195</v>
      </c>
      <c r="L119" t="s">
        <v>21</v>
      </c>
      <c r="M119" t="s">
        <v>376</v>
      </c>
      <c r="N119" t="s">
        <v>18</v>
      </c>
    </row>
    <row r="120" spans="1:14">
      <c r="A120" t="s">
        <v>159</v>
      </c>
      <c r="B120" t="s">
        <v>24</v>
      </c>
      <c r="C120" s="7">
        <v>45806</v>
      </c>
      <c r="D120" t="s">
        <v>25</v>
      </c>
      <c r="E120" t="s">
        <v>32</v>
      </c>
      <c r="F120">
        <v>2134</v>
      </c>
      <c r="G120">
        <v>322</v>
      </c>
      <c r="H120">
        <v>114</v>
      </c>
      <c r="I120">
        <v>44338</v>
      </c>
      <c r="J120">
        <v>52165</v>
      </c>
      <c r="K120">
        <v>176</v>
      </c>
      <c r="L120" t="s">
        <v>376</v>
      </c>
      <c r="M120" t="s">
        <v>42</v>
      </c>
      <c r="N120" t="s">
        <v>18</v>
      </c>
    </row>
    <row r="121" spans="1:14">
      <c r="A121" t="s">
        <v>160</v>
      </c>
      <c r="B121" t="s">
        <v>14</v>
      </c>
      <c r="C121" s="7">
        <v>45674</v>
      </c>
      <c r="D121" t="s">
        <v>15</v>
      </c>
      <c r="E121" t="s">
        <v>41</v>
      </c>
      <c r="F121">
        <v>2266</v>
      </c>
      <c r="G121">
        <v>126</v>
      </c>
      <c r="H121">
        <v>140</v>
      </c>
      <c r="I121">
        <v>53759</v>
      </c>
      <c r="J121">
        <v>46834</v>
      </c>
      <c r="K121">
        <v>277</v>
      </c>
      <c r="L121" t="s">
        <v>21</v>
      </c>
      <c r="M121" t="s">
        <v>375</v>
      </c>
      <c r="N121" t="s">
        <v>22</v>
      </c>
    </row>
    <row r="122" spans="1:14">
      <c r="A122" t="s">
        <v>161</v>
      </c>
      <c r="B122" t="s">
        <v>14</v>
      </c>
      <c r="C122" s="7">
        <v>45777</v>
      </c>
      <c r="D122" t="s">
        <v>25</v>
      </c>
      <c r="E122" t="s">
        <v>26</v>
      </c>
      <c r="F122">
        <v>3916</v>
      </c>
      <c r="G122">
        <v>459</v>
      </c>
      <c r="H122">
        <v>229</v>
      </c>
      <c r="I122">
        <v>48989</v>
      </c>
      <c r="J122">
        <v>39768</v>
      </c>
      <c r="K122">
        <v>200</v>
      </c>
      <c r="L122" t="s">
        <v>42</v>
      </c>
      <c r="M122" t="s">
        <v>375</v>
      </c>
      <c r="N122" t="s">
        <v>55</v>
      </c>
    </row>
    <row r="123" spans="1:14">
      <c r="A123" t="s">
        <v>162</v>
      </c>
      <c r="B123" t="s">
        <v>24</v>
      </c>
      <c r="C123" s="7">
        <v>45346</v>
      </c>
      <c r="D123" t="s">
        <v>25</v>
      </c>
      <c r="E123" t="s">
        <v>32</v>
      </c>
      <c r="F123">
        <v>1022</v>
      </c>
      <c r="G123">
        <v>463</v>
      </c>
      <c r="H123">
        <v>360</v>
      </c>
      <c r="I123">
        <v>51468</v>
      </c>
      <c r="J123">
        <v>24279</v>
      </c>
      <c r="K123">
        <v>230</v>
      </c>
      <c r="L123" t="s">
        <v>21</v>
      </c>
      <c r="M123" t="s">
        <v>376</v>
      </c>
      <c r="N123" t="s">
        <v>18</v>
      </c>
    </row>
    <row r="124" spans="1:14">
      <c r="A124" t="s">
        <v>163</v>
      </c>
      <c r="B124" t="s">
        <v>31</v>
      </c>
      <c r="C124" s="7">
        <v>45424</v>
      </c>
      <c r="D124" t="s">
        <v>15</v>
      </c>
      <c r="E124" t="s">
        <v>49</v>
      </c>
      <c r="F124">
        <v>2911</v>
      </c>
      <c r="G124">
        <v>467</v>
      </c>
      <c r="H124">
        <v>94</v>
      </c>
      <c r="I124">
        <v>59083</v>
      </c>
      <c r="J124">
        <v>49762</v>
      </c>
      <c r="K124">
        <v>236</v>
      </c>
      <c r="L124" t="s">
        <v>21</v>
      </c>
      <c r="M124" t="s">
        <v>377</v>
      </c>
      <c r="N124" t="s">
        <v>22</v>
      </c>
    </row>
    <row r="125" spans="1:14">
      <c r="A125" t="s">
        <v>164</v>
      </c>
      <c r="B125" t="s">
        <v>24</v>
      </c>
      <c r="C125" s="7">
        <v>45421</v>
      </c>
      <c r="D125" t="s">
        <v>25</v>
      </c>
      <c r="E125" t="s">
        <v>26</v>
      </c>
      <c r="F125">
        <v>3277</v>
      </c>
      <c r="G125">
        <v>423</v>
      </c>
      <c r="H125">
        <v>259</v>
      </c>
      <c r="I125">
        <v>46328</v>
      </c>
      <c r="J125">
        <v>44293</v>
      </c>
      <c r="K125">
        <v>299</v>
      </c>
      <c r="L125" t="s">
        <v>45</v>
      </c>
      <c r="M125" t="s">
        <v>42</v>
      </c>
      <c r="N125" t="s">
        <v>18</v>
      </c>
    </row>
    <row r="126" spans="1:14">
      <c r="A126" t="s">
        <v>165</v>
      </c>
      <c r="B126" t="s">
        <v>24</v>
      </c>
      <c r="C126" s="7">
        <v>45602</v>
      </c>
      <c r="D126" t="s">
        <v>15</v>
      </c>
      <c r="E126" t="s">
        <v>49</v>
      </c>
      <c r="F126">
        <v>2956</v>
      </c>
      <c r="G126">
        <v>381</v>
      </c>
      <c r="H126">
        <v>345</v>
      </c>
      <c r="I126">
        <v>33347</v>
      </c>
      <c r="J126">
        <v>22558</v>
      </c>
      <c r="K126">
        <v>173</v>
      </c>
      <c r="L126" t="s">
        <v>42</v>
      </c>
      <c r="M126" t="s">
        <v>375</v>
      </c>
      <c r="N126" t="s">
        <v>18</v>
      </c>
    </row>
    <row r="127" spans="1:14">
      <c r="A127" t="s">
        <v>166</v>
      </c>
      <c r="B127" t="s">
        <v>24</v>
      </c>
      <c r="C127" s="7">
        <v>45295</v>
      </c>
      <c r="D127" t="s">
        <v>25</v>
      </c>
      <c r="E127" t="s">
        <v>35</v>
      </c>
      <c r="F127">
        <v>3208</v>
      </c>
      <c r="G127">
        <v>476</v>
      </c>
      <c r="H127">
        <v>277</v>
      </c>
      <c r="I127">
        <v>56072</v>
      </c>
      <c r="J127">
        <v>21061</v>
      </c>
      <c r="K127">
        <v>113</v>
      </c>
      <c r="L127" t="s">
        <v>376</v>
      </c>
      <c r="M127" t="s">
        <v>42</v>
      </c>
      <c r="N127" t="s">
        <v>18</v>
      </c>
    </row>
    <row r="128" spans="1:14">
      <c r="A128" t="s">
        <v>167</v>
      </c>
      <c r="B128" t="s">
        <v>24</v>
      </c>
      <c r="C128" s="7">
        <v>45319</v>
      </c>
      <c r="D128" t="s">
        <v>15</v>
      </c>
      <c r="E128" t="s">
        <v>32</v>
      </c>
      <c r="F128">
        <v>1456</v>
      </c>
      <c r="G128">
        <v>265</v>
      </c>
      <c r="H128">
        <v>137</v>
      </c>
      <c r="I128">
        <v>53485</v>
      </c>
      <c r="J128">
        <v>59729</v>
      </c>
      <c r="K128">
        <v>145</v>
      </c>
      <c r="L128" t="s">
        <v>45</v>
      </c>
      <c r="M128" t="s">
        <v>375</v>
      </c>
      <c r="N128" t="s">
        <v>22</v>
      </c>
    </row>
    <row r="129" spans="1:14">
      <c r="A129" t="s">
        <v>168</v>
      </c>
      <c r="B129" t="s">
        <v>14</v>
      </c>
      <c r="C129" s="7">
        <v>45344</v>
      </c>
      <c r="D129" t="s">
        <v>15</v>
      </c>
      <c r="E129" t="s">
        <v>26</v>
      </c>
      <c r="F129">
        <v>1902</v>
      </c>
      <c r="G129">
        <v>394</v>
      </c>
      <c r="H129">
        <v>279</v>
      </c>
      <c r="I129">
        <v>24615</v>
      </c>
      <c r="J129">
        <v>51330</v>
      </c>
      <c r="K129">
        <v>176</v>
      </c>
      <c r="L129" t="s">
        <v>45</v>
      </c>
      <c r="M129" t="s">
        <v>42</v>
      </c>
      <c r="N129" t="s">
        <v>18</v>
      </c>
    </row>
    <row r="130" spans="1:14">
      <c r="A130" t="s">
        <v>169</v>
      </c>
      <c r="B130" t="s">
        <v>24</v>
      </c>
      <c r="C130" s="7">
        <v>45839</v>
      </c>
      <c r="D130" t="s">
        <v>25</v>
      </c>
      <c r="E130" t="s">
        <v>20</v>
      </c>
      <c r="F130">
        <v>3219</v>
      </c>
      <c r="G130">
        <v>424</v>
      </c>
      <c r="H130">
        <v>267</v>
      </c>
      <c r="I130">
        <v>48879</v>
      </c>
      <c r="J130">
        <v>37691</v>
      </c>
      <c r="K130">
        <v>224</v>
      </c>
      <c r="L130" t="s">
        <v>21</v>
      </c>
      <c r="M130" t="s">
        <v>376</v>
      </c>
      <c r="N130" t="s">
        <v>18</v>
      </c>
    </row>
    <row r="131" spans="1:14">
      <c r="A131" t="s">
        <v>170</v>
      </c>
      <c r="B131" t="s">
        <v>31</v>
      </c>
      <c r="C131" s="7">
        <v>45301</v>
      </c>
      <c r="D131" t="s">
        <v>15</v>
      </c>
      <c r="E131" t="s">
        <v>20</v>
      </c>
      <c r="F131">
        <v>1261</v>
      </c>
      <c r="G131">
        <v>190</v>
      </c>
      <c r="H131">
        <v>233</v>
      </c>
      <c r="I131">
        <v>59888</v>
      </c>
      <c r="J131">
        <v>51449</v>
      </c>
      <c r="K131">
        <v>205</v>
      </c>
      <c r="L131" t="s">
        <v>21</v>
      </c>
      <c r="M131" t="s">
        <v>377</v>
      </c>
      <c r="N131" t="s">
        <v>22</v>
      </c>
    </row>
    <row r="132" spans="1:14">
      <c r="A132" t="s">
        <v>171</v>
      </c>
      <c r="B132" t="s">
        <v>24</v>
      </c>
      <c r="C132" s="7">
        <v>45736</v>
      </c>
      <c r="D132" t="s">
        <v>15</v>
      </c>
      <c r="E132" t="s">
        <v>51</v>
      </c>
      <c r="F132">
        <v>1564</v>
      </c>
      <c r="G132">
        <v>362</v>
      </c>
      <c r="H132">
        <v>371</v>
      </c>
      <c r="I132">
        <v>42075</v>
      </c>
      <c r="J132">
        <v>66659</v>
      </c>
      <c r="K132">
        <v>205</v>
      </c>
      <c r="L132" t="s">
        <v>45</v>
      </c>
      <c r="M132" t="s">
        <v>375</v>
      </c>
      <c r="N132" t="s">
        <v>22</v>
      </c>
    </row>
    <row r="133" spans="1:14">
      <c r="A133" t="s">
        <v>172</v>
      </c>
      <c r="B133" t="s">
        <v>24</v>
      </c>
      <c r="C133" s="7">
        <v>45563</v>
      </c>
      <c r="D133" t="s">
        <v>15</v>
      </c>
      <c r="E133" t="s">
        <v>35</v>
      </c>
      <c r="F133">
        <v>4006</v>
      </c>
      <c r="G133">
        <v>420</v>
      </c>
      <c r="H133">
        <v>194</v>
      </c>
      <c r="I133">
        <v>49964</v>
      </c>
      <c r="J133">
        <v>20685</v>
      </c>
      <c r="K133">
        <v>148</v>
      </c>
      <c r="L133" t="s">
        <v>42</v>
      </c>
      <c r="M133" t="s">
        <v>375</v>
      </c>
      <c r="N133" t="s">
        <v>18</v>
      </c>
    </row>
    <row r="134" spans="1:14">
      <c r="A134" t="s">
        <v>173</v>
      </c>
      <c r="B134" t="s">
        <v>31</v>
      </c>
      <c r="C134" s="7">
        <v>45318</v>
      </c>
      <c r="D134" t="s">
        <v>15</v>
      </c>
      <c r="E134" t="s">
        <v>51</v>
      </c>
      <c r="F134">
        <v>1976</v>
      </c>
      <c r="G134">
        <v>262</v>
      </c>
      <c r="H134">
        <v>218</v>
      </c>
      <c r="I134">
        <v>51696</v>
      </c>
      <c r="J134">
        <v>44846</v>
      </c>
      <c r="K134">
        <v>139</v>
      </c>
      <c r="L134" t="s">
        <v>21</v>
      </c>
      <c r="M134" t="s">
        <v>377</v>
      </c>
      <c r="N134" t="s">
        <v>22</v>
      </c>
    </row>
    <row r="135" spans="1:14">
      <c r="A135" t="s">
        <v>174</v>
      </c>
      <c r="B135" t="s">
        <v>24</v>
      </c>
      <c r="C135" s="7">
        <v>45792</v>
      </c>
      <c r="D135" t="s">
        <v>15</v>
      </c>
      <c r="E135" t="s">
        <v>26</v>
      </c>
      <c r="F135">
        <v>1583</v>
      </c>
      <c r="G135">
        <v>433</v>
      </c>
      <c r="H135">
        <v>249</v>
      </c>
      <c r="I135">
        <v>30256</v>
      </c>
      <c r="J135">
        <v>47066</v>
      </c>
      <c r="K135">
        <v>196</v>
      </c>
      <c r="L135" t="s">
        <v>42</v>
      </c>
      <c r="M135" t="s">
        <v>375</v>
      </c>
      <c r="N135" t="s">
        <v>18</v>
      </c>
    </row>
    <row r="136" spans="1:14">
      <c r="A136" t="s">
        <v>175</v>
      </c>
      <c r="B136" t="s">
        <v>24</v>
      </c>
      <c r="C136" s="7">
        <v>45569</v>
      </c>
      <c r="D136" t="s">
        <v>25</v>
      </c>
      <c r="E136" t="s">
        <v>20</v>
      </c>
      <c r="F136">
        <v>2870</v>
      </c>
      <c r="G136">
        <v>380</v>
      </c>
      <c r="H136">
        <v>393</v>
      </c>
      <c r="I136">
        <v>37621</v>
      </c>
      <c r="J136">
        <v>71794</v>
      </c>
      <c r="K136">
        <v>127</v>
      </c>
      <c r="L136" t="s">
        <v>376</v>
      </c>
      <c r="M136" t="s">
        <v>42</v>
      </c>
      <c r="N136" t="s">
        <v>18</v>
      </c>
    </row>
    <row r="137" spans="1:14">
      <c r="A137" t="s">
        <v>176</v>
      </c>
      <c r="B137" t="s">
        <v>24</v>
      </c>
      <c r="C137" s="7">
        <v>45615</v>
      </c>
      <c r="D137" t="s">
        <v>15</v>
      </c>
      <c r="E137" t="s">
        <v>41</v>
      </c>
      <c r="F137">
        <v>3728</v>
      </c>
      <c r="G137">
        <v>271</v>
      </c>
      <c r="H137">
        <v>275</v>
      </c>
      <c r="I137">
        <v>22827</v>
      </c>
      <c r="J137">
        <v>37034</v>
      </c>
      <c r="K137">
        <v>199</v>
      </c>
      <c r="L137" t="s">
        <v>42</v>
      </c>
      <c r="M137" t="s">
        <v>375</v>
      </c>
      <c r="N137" t="s">
        <v>18</v>
      </c>
    </row>
    <row r="138" spans="1:14">
      <c r="A138" t="s">
        <v>177</v>
      </c>
      <c r="B138" t="s">
        <v>24</v>
      </c>
      <c r="C138" s="7">
        <v>45387</v>
      </c>
      <c r="D138" t="s">
        <v>25</v>
      </c>
      <c r="E138" t="s">
        <v>26</v>
      </c>
      <c r="F138">
        <v>4965</v>
      </c>
      <c r="G138">
        <v>175</v>
      </c>
      <c r="H138">
        <v>307</v>
      </c>
      <c r="I138">
        <v>32793</v>
      </c>
      <c r="J138">
        <v>43412</v>
      </c>
      <c r="K138">
        <v>296</v>
      </c>
      <c r="L138" t="s">
        <v>45</v>
      </c>
      <c r="M138" t="s">
        <v>42</v>
      </c>
      <c r="N138" t="s">
        <v>18</v>
      </c>
    </row>
    <row r="139" spans="1:14">
      <c r="A139" t="s">
        <v>178</v>
      </c>
      <c r="B139" t="s">
        <v>24</v>
      </c>
      <c r="C139" s="7">
        <v>45624</v>
      </c>
      <c r="D139" t="s">
        <v>25</v>
      </c>
      <c r="E139" t="s">
        <v>26</v>
      </c>
      <c r="F139">
        <v>1131</v>
      </c>
      <c r="G139">
        <v>100</v>
      </c>
      <c r="H139">
        <v>116</v>
      </c>
      <c r="I139">
        <v>48437</v>
      </c>
      <c r="J139">
        <v>72704</v>
      </c>
      <c r="K139">
        <v>236</v>
      </c>
      <c r="L139" t="s">
        <v>21</v>
      </c>
      <c r="M139" t="s">
        <v>376</v>
      </c>
      <c r="N139" t="s">
        <v>18</v>
      </c>
    </row>
    <row r="140" spans="1:14">
      <c r="A140" t="s">
        <v>179</v>
      </c>
      <c r="B140" t="s">
        <v>24</v>
      </c>
      <c r="C140" s="7">
        <v>45725</v>
      </c>
      <c r="D140" t="s">
        <v>15</v>
      </c>
      <c r="E140" t="s">
        <v>51</v>
      </c>
      <c r="F140">
        <v>2754</v>
      </c>
      <c r="G140">
        <v>215</v>
      </c>
      <c r="H140">
        <v>264</v>
      </c>
      <c r="I140">
        <v>27762</v>
      </c>
      <c r="J140">
        <v>70203</v>
      </c>
      <c r="K140">
        <v>289</v>
      </c>
      <c r="L140" t="s">
        <v>42</v>
      </c>
      <c r="M140" t="s">
        <v>375</v>
      </c>
      <c r="N140" t="s">
        <v>18</v>
      </c>
    </row>
    <row r="141" spans="1:14">
      <c r="A141" t="s">
        <v>180</v>
      </c>
      <c r="B141" t="s">
        <v>24</v>
      </c>
      <c r="C141" s="7">
        <v>45531</v>
      </c>
      <c r="D141" t="s">
        <v>25</v>
      </c>
      <c r="E141" t="s">
        <v>26</v>
      </c>
      <c r="F141">
        <v>1856</v>
      </c>
      <c r="G141">
        <v>357</v>
      </c>
      <c r="H141">
        <v>348</v>
      </c>
      <c r="I141">
        <v>29428</v>
      </c>
      <c r="J141">
        <v>70206</v>
      </c>
      <c r="K141">
        <v>236</v>
      </c>
      <c r="L141" t="s">
        <v>376</v>
      </c>
      <c r="M141" t="s">
        <v>42</v>
      </c>
      <c r="N141" t="s">
        <v>18</v>
      </c>
    </row>
    <row r="142" spans="1:14">
      <c r="A142" t="s">
        <v>181</v>
      </c>
      <c r="B142" t="s">
        <v>31</v>
      </c>
      <c r="C142" s="7">
        <v>45566</v>
      </c>
      <c r="D142" t="s">
        <v>57</v>
      </c>
      <c r="E142" t="s">
        <v>20</v>
      </c>
      <c r="F142">
        <v>3543</v>
      </c>
      <c r="G142">
        <v>334</v>
      </c>
      <c r="H142">
        <v>218</v>
      </c>
      <c r="I142">
        <v>58007</v>
      </c>
      <c r="J142">
        <v>24792</v>
      </c>
      <c r="K142">
        <v>273</v>
      </c>
      <c r="L142" t="s">
        <v>21</v>
      </c>
      <c r="M142" t="s">
        <v>45</v>
      </c>
      <c r="N142" t="s">
        <v>59</v>
      </c>
    </row>
    <row r="143" spans="1:14">
      <c r="A143" t="s">
        <v>182</v>
      </c>
      <c r="B143" t="s">
        <v>14</v>
      </c>
      <c r="C143" s="7">
        <v>45647</v>
      </c>
      <c r="D143" t="s">
        <v>25</v>
      </c>
      <c r="E143" t="s">
        <v>26</v>
      </c>
      <c r="F143">
        <v>4563</v>
      </c>
      <c r="G143">
        <v>398</v>
      </c>
      <c r="H143">
        <v>163</v>
      </c>
      <c r="I143">
        <v>43679</v>
      </c>
      <c r="J143">
        <v>48760</v>
      </c>
      <c r="K143">
        <v>92</v>
      </c>
      <c r="L143" t="s">
        <v>42</v>
      </c>
      <c r="M143" t="s">
        <v>375</v>
      </c>
      <c r="N143" t="s">
        <v>55</v>
      </c>
    </row>
    <row r="144" spans="1:14">
      <c r="A144" t="s">
        <v>183</v>
      </c>
      <c r="B144" t="s">
        <v>14</v>
      </c>
      <c r="C144" s="7">
        <v>45460</v>
      </c>
      <c r="D144" t="s">
        <v>15</v>
      </c>
      <c r="E144" t="s">
        <v>16</v>
      </c>
      <c r="F144">
        <v>4283</v>
      </c>
      <c r="G144">
        <v>471</v>
      </c>
      <c r="H144">
        <v>156</v>
      </c>
      <c r="I144">
        <v>53004</v>
      </c>
      <c r="J144">
        <v>25678</v>
      </c>
      <c r="K144">
        <v>105</v>
      </c>
      <c r="L144" t="s">
        <v>21</v>
      </c>
      <c r="M144" t="s">
        <v>375</v>
      </c>
      <c r="N144" t="s">
        <v>22</v>
      </c>
    </row>
    <row r="145" spans="1:14">
      <c r="A145" t="s">
        <v>184</v>
      </c>
      <c r="B145" t="s">
        <v>14</v>
      </c>
      <c r="C145" s="7">
        <v>45702</v>
      </c>
      <c r="D145" t="s">
        <v>15</v>
      </c>
      <c r="E145" t="s">
        <v>16</v>
      </c>
      <c r="F145">
        <v>2329</v>
      </c>
      <c r="G145">
        <v>373</v>
      </c>
      <c r="H145">
        <v>291</v>
      </c>
      <c r="I145">
        <v>49577</v>
      </c>
      <c r="J145">
        <v>28002</v>
      </c>
      <c r="K145">
        <v>82</v>
      </c>
      <c r="L145" t="s">
        <v>45</v>
      </c>
      <c r="M145" t="s">
        <v>42</v>
      </c>
      <c r="N145" t="s">
        <v>18</v>
      </c>
    </row>
    <row r="146" spans="1:14">
      <c r="A146" t="s">
        <v>185</v>
      </c>
      <c r="B146" t="s">
        <v>24</v>
      </c>
      <c r="C146" s="7">
        <v>45805</v>
      </c>
      <c r="D146" t="s">
        <v>25</v>
      </c>
      <c r="E146" t="s">
        <v>41</v>
      </c>
      <c r="F146">
        <v>4287</v>
      </c>
      <c r="G146">
        <v>273</v>
      </c>
      <c r="H146">
        <v>122</v>
      </c>
      <c r="I146">
        <v>40792</v>
      </c>
      <c r="J146">
        <v>23878</v>
      </c>
      <c r="K146">
        <v>277</v>
      </c>
      <c r="L146" t="s">
        <v>376</v>
      </c>
      <c r="M146" t="s">
        <v>42</v>
      </c>
      <c r="N146" t="s">
        <v>18</v>
      </c>
    </row>
    <row r="147" spans="1:14">
      <c r="A147" t="s">
        <v>186</v>
      </c>
      <c r="B147" t="s">
        <v>14</v>
      </c>
      <c r="C147" s="7">
        <v>45799</v>
      </c>
      <c r="D147" t="s">
        <v>15</v>
      </c>
      <c r="E147" t="s">
        <v>16</v>
      </c>
      <c r="F147">
        <v>2633</v>
      </c>
      <c r="G147">
        <v>318</v>
      </c>
      <c r="H147">
        <v>380</v>
      </c>
      <c r="I147">
        <v>40869</v>
      </c>
      <c r="J147">
        <v>64474</v>
      </c>
      <c r="K147">
        <v>245</v>
      </c>
      <c r="L147" t="s">
        <v>21</v>
      </c>
      <c r="M147" t="s">
        <v>375</v>
      </c>
      <c r="N147" t="s">
        <v>22</v>
      </c>
    </row>
    <row r="148" spans="1:14">
      <c r="A148" t="s">
        <v>187</v>
      </c>
      <c r="B148" t="s">
        <v>24</v>
      </c>
      <c r="C148" s="7">
        <v>45312</v>
      </c>
      <c r="D148" t="s">
        <v>25</v>
      </c>
      <c r="E148" t="s">
        <v>16</v>
      </c>
      <c r="F148">
        <v>2383</v>
      </c>
      <c r="G148">
        <v>136</v>
      </c>
      <c r="H148">
        <v>302</v>
      </c>
      <c r="I148">
        <v>39187</v>
      </c>
      <c r="J148">
        <v>22133</v>
      </c>
      <c r="K148">
        <v>208</v>
      </c>
      <c r="L148" t="s">
        <v>376</v>
      </c>
      <c r="M148" t="s">
        <v>42</v>
      </c>
      <c r="N148" t="s">
        <v>18</v>
      </c>
    </row>
    <row r="149" spans="1:14">
      <c r="A149" t="s">
        <v>188</v>
      </c>
      <c r="B149" t="s">
        <v>24</v>
      </c>
      <c r="C149" s="7">
        <v>45696</v>
      </c>
      <c r="D149" t="s">
        <v>25</v>
      </c>
      <c r="E149" t="s">
        <v>51</v>
      </c>
      <c r="F149">
        <v>4752</v>
      </c>
      <c r="G149">
        <v>334</v>
      </c>
      <c r="H149">
        <v>56</v>
      </c>
      <c r="I149">
        <v>48017</v>
      </c>
      <c r="J149">
        <v>55534</v>
      </c>
      <c r="K149">
        <v>270</v>
      </c>
      <c r="L149" t="s">
        <v>21</v>
      </c>
      <c r="M149" t="s">
        <v>376</v>
      </c>
      <c r="N149" t="s">
        <v>18</v>
      </c>
    </row>
    <row r="150" spans="1:14">
      <c r="A150" t="s">
        <v>189</v>
      </c>
      <c r="B150" t="s">
        <v>24</v>
      </c>
      <c r="C150" s="7">
        <v>45760</v>
      </c>
      <c r="D150" t="s">
        <v>15</v>
      </c>
      <c r="E150" t="s">
        <v>49</v>
      </c>
      <c r="F150">
        <v>3890</v>
      </c>
      <c r="G150">
        <v>408</v>
      </c>
      <c r="H150">
        <v>338</v>
      </c>
      <c r="I150">
        <v>56994</v>
      </c>
      <c r="J150">
        <v>32621</v>
      </c>
      <c r="K150">
        <v>286</v>
      </c>
      <c r="L150" t="s">
        <v>45</v>
      </c>
      <c r="M150" t="s">
        <v>375</v>
      </c>
      <c r="N150" t="s">
        <v>22</v>
      </c>
    </row>
    <row r="151" spans="1:14">
      <c r="A151" t="s">
        <v>190</v>
      </c>
      <c r="B151" t="s">
        <v>24</v>
      </c>
      <c r="C151" s="7">
        <v>45442</v>
      </c>
      <c r="D151" t="s">
        <v>25</v>
      </c>
      <c r="E151" t="s">
        <v>51</v>
      </c>
      <c r="F151">
        <v>2311</v>
      </c>
      <c r="G151">
        <v>207</v>
      </c>
      <c r="H151">
        <v>363</v>
      </c>
      <c r="I151">
        <v>30349</v>
      </c>
      <c r="J151">
        <v>32925</v>
      </c>
      <c r="K151">
        <v>88</v>
      </c>
      <c r="L151" t="s">
        <v>376</v>
      </c>
      <c r="M151" t="s">
        <v>42</v>
      </c>
      <c r="N151" t="s">
        <v>18</v>
      </c>
    </row>
    <row r="152" spans="1:14">
      <c r="A152" t="s">
        <v>191</v>
      </c>
      <c r="B152" t="s">
        <v>14</v>
      </c>
      <c r="C152" s="7">
        <v>45516</v>
      </c>
      <c r="D152" t="s">
        <v>25</v>
      </c>
      <c r="E152" t="s">
        <v>16</v>
      </c>
      <c r="F152">
        <v>2962</v>
      </c>
      <c r="G152">
        <v>400</v>
      </c>
      <c r="H152">
        <v>280</v>
      </c>
      <c r="I152">
        <v>52508</v>
      </c>
      <c r="J152">
        <v>58329</v>
      </c>
      <c r="K152">
        <v>219</v>
      </c>
      <c r="L152" t="s">
        <v>42</v>
      </c>
      <c r="M152" t="s">
        <v>375</v>
      </c>
      <c r="N152" t="s">
        <v>55</v>
      </c>
    </row>
    <row r="153" spans="1:14">
      <c r="A153" t="s">
        <v>192</v>
      </c>
      <c r="B153" t="s">
        <v>14</v>
      </c>
      <c r="C153" s="7">
        <v>45562</v>
      </c>
      <c r="D153" t="s">
        <v>15</v>
      </c>
      <c r="E153" t="s">
        <v>16</v>
      </c>
      <c r="F153">
        <v>3118</v>
      </c>
      <c r="G153">
        <v>116</v>
      </c>
      <c r="H153">
        <v>195</v>
      </c>
      <c r="I153">
        <v>37100</v>
      </c>
      <c r="J153">
        <v>62629</v>
      </c>
      <c r="K153">
        <v>272</v>
      </c>
      <c r="L153" t="s">
        <v>21</v>
      </c>
      <c r="M153" t="s">
        <v>375</v>
      </c>
      <c r="N153" t="s">
        <v>22</v>
      </c>
    </row>
    <row r="154" spans="1:14">
      <c r="A154" t="s">
        <v>193</v>
      </c>
      <c r="B154" t="s">
        <v>24</v>
      </c>
      <c r="C154" s="7">
        <v>45819</v>
      </c>
      <c r="D154" t="s">
        <v>25</v>
      </c>
      <c r="E154" t="s">
        <v>20</v>
      </c>
      <c r="F154">
        <v>3805</v>
      </c>
      <c r="G154">
        <v>453</v>
      </c>
      <c r="H154">
        <v>63</v>
      </c>
      <c r="I154">
        <v>52395</v>
      </c>
      <c r="J154">
        <v>72934</v>
      </c>
      <c r="K154">
        <v>87</v>
      </c>
      <c r="L154" t="s">
        <v>21</v>
      </c>
      <c r="M154" t="s">
        <v>376</v>
      </c>
      <c r="N154" t="s">
        <v>18</v>
      </c>
    </row>
    <row r="155" spans="1:14">
      <c r="A155" t="s">
        <v>194</v>
      </c>
      <c r="B155" t="s">
        <v>14</v>
      </c>
      <c r="C155" s="7">
        <v>45615</v>
      </c>
      <c r="D155" t="s">
        <v>15</v>
      </c>
      <c r="E155" t="s">
        <v>35</v>
      </c>
      <c r="F155">
        <v>2525</v>
      </c>
      <c r="G155">
        <v>272</v>
      </c>
      <c r="H155">
        <v>294</v>
      </c>
      <c r="I155">
        <v>51875</v>
      </c>
      <c r="J155">
        <v>24732</v>
      </c>
      <c r="K155">
        <v>92</v>
      </c>
      <c r="L155" t="s">
        <v>21</v>
      </c>
      <c r="M155" t="s">
        <v>375</v>
      </c>
      <c r="N155" t="s">
        <v>22</v>
      </c>
    </row>
    <row r="156" spans="1:14">
      <c r="A156" t="s">
        <v>195</v>
      </c>
      <c r="B156" t="s">
        <v>14</v>
      </c>
      <c r="C156" s="7">
        <v>45407</v>
      </c>
      <c r="D156" t="s">
        <v>15</v>
      </c>
      <c r="E156" t="s">
        <v>32</v>
      </c>
      <c r="F156">
        <v>3563</v>
      </c>
      <c r="G156">
        <v>483</v>
      </c>
      <c r="H156">
        <v>227</v>
      </c>
      <c r="I156">
        <v>41085</v>
      </c>
      <c r="J156">
        <v>26393</v>
      </c>
      <c r="K156">
        <v>236</v>
      </c>
      <c r="L156" t="s">
        <v>45</v>
      </c>
      <c r="M156" t="s">
        <v>42</v>
      </c>
      <c r="N156" t="s">
        <v>18</v>
      </c>
    </row>
    <row r="157" spans="1:14">
      <c r="A157" t="s">
        <v>196</v>
      </c>
      <c r="B157" t="s">
        <v>31</v>
      </c>
      <c r="C157" s="7">
        <v>45538</v>
      </c>
      <c r="D157" t="s">
        <v>57</v>
      </c>
      <c r="E157" t="s">
        <v>35</v>
      </c>
      <c r="F157">
        <v>1437</v>
      </c>
      <c r="G157">
        <v>494</v>
      </c>
      <c r="H157">
        <v>129</v>
      </c>
      <c r="I157">
        <v>53048</v>
      </c>
      <c r="J157">
        <v>44090</v>
      </c>
      <c r="K157">
        <v>230</v>
      </c>
      <c r="L157" t="s">
        <v>21</v>
      </c>
      <c r="M157" t="s">
        <v>45</v>
      </c>
      <c r="N157" t="s">
        <v>59</v>
      </c>
    </row>
    <row r="158" spans="1:14">
      <c r="A158" t="s">
        <v>197</v>
      </c>
      <c r="B158" t="s">
        <v>31</v>
      </c>
      <c r="C158" s="7">
        <v>45718</v>
      </c>
      <c r="D158" t="s">
        <v>15</v>
      </c>
      <c r="E158" t="s">
        <v>49</v>
      </c>
      <c r="F158">
        <v>4425</v>
      </c>
      <c r="G158">
        <v>185</v>
      </c>
      <c r="H158">
        <v>162</v>
      </c>
      <c r="I158">
        <v>24610</v>
      </c>
      <c r="J158">
        <v>21342</v>
      </c>
      <c r="K158">
        <v>158</v>
      </c>
      <c r="L158" t="s">
        <v>21</v>
      </c>
      <c r="M158" t="s">
        <v>377</v>
      </c>
      <c r="N158" t="s">
        <v>22</v>
      </c>
    </row>
    <row r="159" spans="1:14">
      <c r="A159" t="s">
        <v>198</v>
      </c>
      <c r="B159" t="s">
        <v>24</v>
      </c>
      <c r="C159" s="7">
        <v>45737</v>
      </c>
      <c r="D159" t="s">
        <v>25</v>
      </c>
      <c r="E159" t="s">
        <v>26</v>
      </c>
      <c r="F159">
        <v>4609</v>
      </c>
      <c r="G159">
        <v>427</v>
      </c>
      <c r="H159">
        <v>395</v>
      </c>
      <c r="I159">
        <v>33698</v>
      </c>
      <c r="J159">
        <v>29259</v>
      </c>
      <c r="K159">
        <v>216</v>
      </c>
      <c r="L159" t="s">
        <v>21</v>
      </c>
      <c r="M159" t="s">
        <v>376</v>
      </c>
      <c r="N159" t="s">
        <v>18</v>
      </c>
    </row>
    <row r="160" spans="1:14">
      <c r="A160" t="s">
        <v>199</v>
      </c>
      <c r="B160" t="s">
        <v>14</v>
      </c>
      <c r="C160" s="7">
        <v>45394</v>
      </c>
      <c r="D160" t="s">
        <v>25</v>
      </c>
      <c r="E160" t="s">
        <v>37</v>
      </c>
      <c r="F160">
        <v>1558</v>
      </c>
      <c r="G160">
        <v>352</v>
      </c>
      <c r="H160">
        <v>202</v>
      </c>
      <c r="I160">
        <v>25405</v>
      </c>
      <c r="J160">
        <v>69941</v>
      </c>
      <c r="K160">
        <v>219</v>
      </c>
      <c r="L160" t="s">
        <v>42</v>
      </c>
      <c r="M160" t="s">
        <v>375</v>
      </c>
      <c r="N160" t="s">
        <v>55</v>
      </c>
    </row>
    <row r="161" spans="1:14">
      <c r="A161" t="s">
        <v>200</v>
      </c>
      <c r="B161" t="s">
        <v>31</v>
      </c>
      <c r="C161" s="7">
        <v>45330</v>
      </c>
      <c r="D161" t="s">
        <v>57</v>
      </c>
      <c r="E161" t="s">
        <v>41</v>
      </c>
      <c r="F161">
        <v>1889</v>
      </c>
      <c r="G161">
        <v>298</v>
      </c>
      <c r="H161">
        <v>122</v>
      </c>
      <c r="I161">
        <v>46225</v>
      </c>
      <c r="J161">
        <v>74305</v>
      </c>
      <c r="K161">
        <v>293</v>
      </c>
      <c r="L161" t="s">
        <v>21</v>
      </c>
      <c r="M161" t="s">
        <v>45</v>
      </c>
      <c r="N161" t="s">
        <v>59</v>
      </c>
    </row>
    <row r="162" spans="1:14">
      <c r="A162" t="s">
        <v>201</v>
      </c>
      <c r="B162" t="s">
        <v>14</v>
      </c>
      <c r="C162" s="7">
        <v>45803</v>
      </c>
      <c r="D162" t="s">
        <v>15</v>
      </c>
      <c r="E162" t="s">
        <v>16</v>
      </c>
      <c r="F162">
        <v>3086</v>
      </c>
      <c r="G162">
        <v>148</v>
      </c>
      <c r="H162">
        <v>310</v>
      </c>
      <c r="I162">
        <v>22824</v>
      </c>
      <c r="J162">
        <v>58103</v>
      </c>
      <c r="K162">
        <v>275</v>
      </c>
      <c r="L162" t="s">
        <v>21</v>
      </c>
      <c r="M162" t="s">
        <v>375</v>
      </c>
      <c r="N162" t="s">
        <v>22</v>
      </c>
    </row>
    <row r="163" spans="1:14">
      <c r="A163" t="s">
        <v>202</v>
      </c>
      <c r="B163" t="s">
        <v>14</v>
      </c>
      <c r="C163" s="7">
        <v>45610</v>
      </c>
      <c r="D163" t="s">
        <v>15</v>
      </c>
      <c r="E163" t="s">
        <v>32</v>
      </c>
      <c r="F163">
        <v>2422</v>
      </c>
      <c r="G163">
        <v>318</v>
      </c>
      <c r="H163">
        <v>118</v>
      </c>
      <c r="I163">
        <v>25386</v>
      </c>
      <c r="J163">
        <v>20873</v>
      </c>
      <c r="K163">
        <v>100</v>
      </c>
      <c r="L163" t="s">
        <v>45</v>
      </c>
      <c r="M163" t="s">
        <v>42</v>
      </c>
      <c r="N163" t="s">
        <v>18</v>
      </c>
    </row>
    <row r="164" spans="1:14">
      <c r="A164" t="s">
        <v>203</v>
      </c>
      <c r="B164" t="s">
        <v>31</v>
      </c>
      <c r="C164" s="7">
        <v>45513</v>
      </c>
      <c r="D164" t="s">
        <v>57</v>
      </c>
      <c r="E164" t="s">
        <v>49</v>
      </c>
      <c r="F164">
        <v>3414</v>
      </c>
      <c r="G164">
        <v>154</v>
      </c>
      <c r="H164">
        <v>204</v>
      </c>
      <c r="I164">
        <v>34146</v>
      </c>
      <c r="J164">
        <v>44633</v>
      </c>
      <c r="K164">
        <v>256</v>
      </c>
      <c r="L164" t="s">
        <v>21</v>
      </c>
      <c r="M164" t="s">
        <v>45</v>
      </c>
      <c r="N164" t="s">
        <v>59</v>
      </c>
    </row>
    <row r="165" spans="1:14">
      <c r="A165" t="s">
        <v>204</v>
      </c>
      <c r="B165" t="s">
        <v>14</v>
      </c>
      <c r="C165" s="7">
        <v>45835</v>
      </c>
      <c r="D165" t="s">
        <v>25</v>
      </c>
      <c r="E165" t="s">
        <v>35</v>
      </c>
      <c r="F165">
        <v>1342</v>
      </c>
      <c r="G165">
        <v>332</v>
      </c>
      <c r="H165">
        <v>163</v>
      </c>
      <c r="I165">
        <v>51712</v>
      </c>
      <c r="J165">
        <v>57922</v>
      </c>
      <c r="K165">
        <v>168</v>
      </c>
      <c r="L165" t="s">
        <v>42</v>
      </c>
      <c r="M165" t="s">
        <v>375</v>
      </c>
      <c r="N165" t="s">
        <v>55</v>
      </c>
    </row>
    <row r="166" spans="1:14">
      <c r="A166" t="s">
        <v>205</v>
      </c>
      <c r="B166" t="s">
        <v>14</v>
      </c>
      <c r="C166" s="7">
        <v>45420</v>
      </c>
      <c r="D166" t="s">
        <v>25</v>
      </c>
      <c r="E166" t="s">
        <v>32</v>
      </c>
      <c r="F166">
        <v>2414</v>
      </c>
      <c r="G166">
        <v>220</v>
      </c>
      <c r="H166">
        <v>280</v>
      </c>
      <c r="I166">
        <v>27355</v>
      </c>
      <c r="J166">
        <v>50562</v>
      </c>
      <c r="K166">
        <v>258</v>
      </c>
      <c r="L166" t="s">
        <v>42</v>
      </c>
      <c r="M166" t="s">
        <v>375</v>
      </c>
      <c r="N166" t="s">
        <v>55</v>
      </c>
    </row>
    <row r="167" spans="1:14">
      <c r="A167" t="s">
        <v>206</v>
      </c>
      <c r="B167" t="s">
        <v>14</v>
      </c>
      <c r="C167" s="7">
        <v>45387</v>
      </c>
      <c r="D167" t="s">
        <v>15</v>
      </c>
      <c r="E167" t="s">
        <v>26</v>
      </c>
      <c r="F167">
        <v>4383</v>
      </c>
      <c r="G167">
        <v>352</v>
      </c>
      <c r="H167">
        <v>176</v>
      </c>
      <c r="I167">
        <v>53239</v>
      </c>
      <c r="J167">
        <v>34168</v>
      </c>
      <c r="K167">
        <v>288</v>
      </c>
      <c r="L167" t="s">
        <v>21</v>
      </c>
      <c r="M167" t="s">
        <v>375</v>
      </c>
      <c r="N167" t="s">
        <v>22</v>
      </c>
    </row>
    <row r="168" spans="1:14">
      <c r="A168" t="s">
        <v>207</v>
      </c>
      <c r="B168" t="s">
        <v>31</v>
      </c>
      <c r="C168" s="7">
        <v>45684</v>
      </c>
      <c r="D168" t="s">
        <v>15</v>
      </c>
      <c r="E168" t="s">
        <v>29</v>
      </c>
      <c r="F168">
        <v>4294</v>
      </c>
      <c r="G168">
        <v>423</v>
      </c>
      <c r="H168">
        <v>93</v>
      </c>
      <c r="I168">
        <v>29828</v>
      </c>
      <c r="J168">
        <v>73144</v>
      </c>
      <c r="K168">
        <v>298</v>
      </c>
      <c r="L168" t="s">
        <v>21</v>
      </c>
      <c r="M168" t="s">
        <v>377</v>
      </c>
      <c r="N168" t="s">
        <v>22</v>
      </c>
    </row>
    <row r="169" spans="1:14">
      <c r="A169" t="s">
        <v>208</v>
      </c>
      <c r="B169" t="s">
        <v>14</v>
      </c>
      <c r="C169" s="7">
        <v>45385</v>
      </c>
      <c r="D169" t="s">
        <v>15</v>
      </c>
      <c r="E169" t="s">
        <v>41</v>
      </c>
      <c r="F169">
        <v>2762</v>
      </c>
      <c r="G169">
        <v>339</v>
      </c>
      <c r="H169">
        <v>323</v>
      </c>
      <c r="I169">
        <v>33757</v>
      </c>
      <c r="J169">
        <v>68511</v>
      </c>
      <c r="K169">
        <v>121</v>
      </c>
      <c r="L169" t="s">
        <v>45</v>
      </c>
      <c r="M169" t="s">
        <v>42</v>
      </c>
      <c r="N169" t="s">
        <v>18</v>
      </c>
    </row>
    <row r="170" spans="1:14">
      <c r="A170" t="s">
        <v>209</v>
      </c>
      <c r="B170" t="s">
        <v>31</v>
      </c>
      <c r="C170" s="7">
        <v>45660</v>
      </c>
      <c r="D170" t="s">
        <v>15</v>
      </c>
      <c r="E170" t="s">
        <v>26</v>
      </c>
      <c r="F170">
        <v>3782</v>
      </c>
      <c r="G170">
        <v>484</v>
      </c>
      <c r="H170">
        <v>144</v>
      </c>
      <c r="I170">
        <v>52172</v>
      </c>
      <c r="J170">
        <v>59386</v>
      </c>
      <c r="K170">
        <v>175</v>
      </c>
      <c r="L170" t="s">
        <v>21</v>
      </c>
      <c r="M170" t="s">
        <v>377</v>
      </c>
      <c r="N170" t="s">
        <v>22</v>
      </c>
    </row>
    <row r="171" spans="1:14">
      <c r="A171" t="s">
        <v>210</v>
      </c>
      <c r="B171" t="s">
        <v>24</v>
      </c>
      <c r="C171" s="7">
        <v>45619</v>
      </c>
      <c r="D171" t="s">
        <v>15</v>
      </c>
      <c r="E171" t="s">
        <v>26</v>
      </c>
      <c r="F171">
        <v>4318</v>
      </c>
      <c r="G171">
        <v>371</v>
      </c>
      <c r="H171">
        <v>329</v>
      </c>
      <c r="I171">
        <v>32347</v>
      </c>
      <c r="J171">
        <v>68956</v>
      </c>
      <c r="K171">
        <v>259</v>
      </c>
      <c r="L171" t="s">
        <v>45</v>
      </c>
      <c r="M171" t="s">
        <v>375</v>
      </c>
      <c r="N171" t="s">
        <v>22</v>
      </c>
    </row>
    <row r="172" spans="1:14">
      <c r="A172" t="s">
        <v>211</v>
      </c>
      <c r="B172" t="s">
        <v>14</v>
      </c>
      <c r="C172" s="7">
        <v>45536</v>
      </c>
      <c r="D172" t="s">
        <v>25</v>
      </c>
      <c r="E172" t="s">
        <v>29</v>
      </c>
      <c r="F172">
        <v>2335</v>
      </c>
      <c r="G172">
        <v>150</v>
      </c>
      <c r="H172">
        <v>75</v>
      </c>
      <c r="I172">
        <v>26114</v>
      </c>
      <c r="J172">
        <v>57549</v>
      </c>
      <c r="K172">
        <v>135</v>
      </c>
      <c r="L172" t="s">
        <v>42</v>
      </c>
      <c r="M172" t="s">
        <v>375</v>
      </c>
      <c r="N172" t="s">
        <v>55</v>
      </c>
    </row>
    <row r="173" spans="1:14">
      <c r="A173" t="s">
        <v>212</v>
      </c>
      <c r="B173" t="s">
        <v>31</v>
      </c>
      <c r="C173" s="7">
        <v>45400</v>
      </c>
      <c r="D173" t="s">
        <v>15</v>
      </c>
      <c r="E173" t="s">
        <v>20</v>
      </c>
      <c r="F173">
        <v>4023</v>
      </c>
      <c r="G173">
        <v>293</v>
      </c>
      <c r="H173">
        <v>91</v>
      </c>
      <c r="I173">
        <v>26795</v>
      </c>
      <c r="J173">
        <v>28924</v>
      </c>
      <c r="K173">
        <v>278</v>
      </c>
      <c r="L173" t="s">
        <v>21</v>
      </c>
      <c r="M173" t="s">
        <v>377</v>
      </c>
      <c r="N173" t="s">
        <v>22</v>
      </c>
    </row>
    <row r="174" spans="1:14">
      <c r="A174" t="s">
        <v>213</v>
      </c>
      <c r="B174" t="s">
        <v>14</v>
      </c>
      <c r="C174" s="7">
        <v>45447</v>
      </c>
      <c r="D174" t="s">
        <v>15</v>
      </c>
      <c r="E174" t="s">
        <v>37</v>
      </c>
      <c r="F174">
        <v>3948</v>
      </c>
      <c r="G174">
        <v>151</v>
      </c>
      <c r="H174">
        <v>249</v>
      </c>
      <c r="I174">
        <v>43147</v>
      </c>
      <c r="J174">
        <v>63136</v>
      </c>
      <c r="K174">
        <v>230</v>
      </c>
      <c r="L174" t="s">
        <v>21</v>
      </c>
      <c r="M174" t="s">
        <v>375</v>
      </c>
      <c r="N174" t="s">
        <v>22</v>
      </c>
    </row>
    <row r="175" spans="1:14">
      <c r="A175" t="s">
        <v>214</v>
      </c>
      <c r="B175" t="s">
        <v>31</v>
      </c>
      <c r="C175" s="7">
        <v>45749</v>
      </c>
      <c r="D175" t="s">
        <v>15</v>
      </c>
      <c r="E175" t="s">
        <v>29</v>
      </c>
      <c r="F175">
        <v>4598</v>
      </c>
      <c r="G175">
        <v>455</v>
      </c>
      <c r="H175">
        <v>378</v>
      </c>
      <c r="I175">
        <v>52952</v>
      </c>
      <c r="J175">
        <v>58504</v>
      </c>
      <c r="K175">
        <v>269</v>
      </c>
      <c r="L175" t="s">
        <v>21</v>
      </c>
      <c r="M175" t="s">
        <v>377</v>
      </c>
      <c r="N175" t="s">
        <v>22</v>
      </c>
    </row>
    <row r="176" spans="1:14">
      <c r="A176" t="s">
        <v>215</v>
      </c>
      <c r="B176" t="s">
        <v>24</v>
      </c>
      <c r="C176" s="7">
        <v>45748</v>
      </c>
      <c r="D176" t="s">
        <v>25</v>
      </c>
      <c r="E176" t="s">
        <v>32</v>
      </c>
      <c r="F176">
        <v>2665</v>
      </c>
      <c r="G176">
        <v>143</v>
      </c>
      <c r="H176">
        <v>315</v>
      </c>
      <c r="I176">
        <v>54808</v>
      </c>
      <c r="J176">
        <v>29818</v>
      </c>
      <c r="K176">
        <v>98</v>
      </c>
      <c r="L176" t="s">
        <v>21</v>
      </c>
      <c r="M176" t="s">
        <v>376</v>
      </c>
      <c r="N176" t="s">
        <v>18</v>
      </c>
    </row>
    <row r="177" spans="1:14">
      <c r="A177" t="s">
        <v>216</v>
      </c>
      <c r="B177" t="s">
        <v>14</v>
      </c>
      <c r="C177" s="7">
        <v>45475</v>
      </c>
      <c r="D177" t="s">
        <v>15</v>
      </c>
      <c r="E177" t="s">
        <v>41</v>
      </c>
      <c r="F177">
        <v>3469</v>
      </c>
      <c r="G177">
        <v>371</v>
      </c>
      <c r="H177">
        <v>76</v>
      </c>
      <c r="I177">
        <v>46493</v>
      </c>
      <c r="J177">
        <v>26906</v>
      </c>
      <c r="K177">
        <v>150</v>
      </c>
      <c r="L177" t="s">
        <v>45</v>
      </c>
      <c r="M177" t="s">
        <v>42</v>
      </c>
      <c r="N177" t="s">
        <v>18</v>
      </c>
    </row>
    <row r="178" spans="1:14">
      <c r="A178" t="s">
        <v>217</v>
      </c>
      <c r="B178" t="s">
        <v>24</v>
      </c>
      <c r="C178" s="7">
        <v>45606</v>
      </c>
      <c r="D178" t="s">
        <v>15</v>
      </c>
      <c r="E178" t="s">
        <v>20</v>
      </c>
      <c r="F178">
        <v>4823</v>
      </c>
      <c r="G178">
        <v>489</v>
      </c>
      <c r="H178">
        <v>302</v>
      </c>
      <c r="I178">
        <v>32470</v>
      </c>
      <c r="J178">
        <v>31861</v>
      </c>
      <c r="K178">
        <v>178</v>
      </c>
      <c r="L178" t="s">
        <v>45</v>
      </c>
      <c r="M178" t="s">
        <v>375</v>
      </c>
      <c r="N178" t="s">
        <v>22</v>
      </c>
    </row>
    <row r="179" spans="1:14">
      <c r="A179" t="s">
        <v>218</v>
      </c>
      <c r="B179" t="s">
        <v>14</v>
      </c>
      <c r="C179" s="7">
        <v>45640</v>
      </c>
      <c r="D179" t="s">
        <v>25</v>
      </c>
      <c r="E179" t="s">
        <v>49</v>
      </c>
      <c r="F179">
        <v>3812</v>
      </c>
      <c r="G179">
        <v>321</v>
      </c>
      <c r="H179">
        <v>289</v>
      </c>
      <c r="I179">
        <v>59838</v>
      </c>
      <c r="J179">
        <v>36337</v>
      </c>
      <c r="K179">
        <v>161</v>
      </c>
      <c r="L179" t="s">
        <v>42</v>
      </c>
      <c r="M179" t="s">
        <v>375</v>
      </c>
      <c r="N179" t="s">
        <v>55</v>
      </c>
    </row>
    <row r="180" spans="1:14">
      <c r="A180" t="s">
        <v>219</v>
      </c>
      <c r="B180" t="s">
        <v>24</v>
      </c>
      <c r="C180" s="7">
        <v>45615</v>
      </c>
      <c r="D180" t="s">
        <v>15</v>
      </c>
      <c r="E180" t="s">
        <v>20</v>
      </c>
      <c r="F180">
        <v>2387</v>
      </c>
      <c r="G180">
        <v>353</v>
      </c>
      <c r="H180">
        <v>78</v>
      </c>
      <c r="I180">
        <v>39745</v>
      </c>
      <c r="J180">
        <v>69226</v>
      </c>
      <c r="K180">
        <v>208</v>
      </c>
      <c r="L180" t="s">
        <v>45</v>
      </c>
      <c r="M180" t="s">
        <v>375</v>
      </c>
      <c r="N180" t="s">
        <v>22</v>
      </c>
    </row>
    <row r="181" spans="1:14">
      <c r="A181" t="s">
        <v>220</v>
      </c>
      <c r="B181" t="s">
        <v>24</v>
      </c>
      <c r="C181" s="7">
        <v>45777</v>
      </c>
      <c r="D181" t="s">
        <v>25</v>
      </c>
      <c r="E181" t="s">
        <v>29</v>
      </c>
      <c r="F181">
        <v>3929</v>
      </c>
      <c r="G181">
        <v>275</v>
      </c>
      <c r="H181">
        <v>330</v>
      </c>
      <c r="I181">
        <v>58329</v>
      </c>
      <c r="J181">
        <v>33196</v>
      </c>
      <c r="K181">
        <v>85</v>
      </c>
      <c r="L181" t="s">
        <v>376</v>
      </c>
      <c r="M181" t="s">
        <v>42</v>
      </c>
      <c r="N181" t="s">
        <v>18</v>
      </c>
    </row>
    <row r="182" spans="1:14">
      <c r="A182" t="s">
        <v>221</v>
      </c>
      <c r="B182" t="s">
        <v>24</v>
      </c>
      <c r="C182" s="7">
        <v>45370</v>
      </c>
      <c r="D182" t="s">
        <v>15</v>
      </c>
      <c r="E182" t="s">
        <v>49</v>
      </c>
      <c r="F182">
        <v>2191</v>
      </c>
      <c r="G182">
        <v>288</v>
      </c>
      <c r="H182">
        <v>83</v>
      </c>
      <c r="I182">
        <v>59606</v>
      </c>
      <c r="J182">
        <v>24765</v>
      </c>
      <c r="K182">
        <v>281</v>
      </c>
      <c r="L182" t="s">
        <v>45</v>
      </c>
      <c r="M182" t="s">
        <v>375</v>
      </c>
      <c r="N182" t="s">
        <v>22</v>
      </c>
    </row>
    <row r="183" spans="1:14">
      <c r="A183" t="s">
        <v>222</v>
      </c>
      <c r="B183" t="s">
        <v>14</v>
      </c>
      <c r="C183" s="7">
        <v>45370</v>
      </c>
      <c r="D183" t="s">
        <v>15</v>
      </c>
      <c r="E183" t="s">
        <v>49</v>
      </c>
      <c r="F183">
        <v>2878</v>
      </c>
      <c r="G183">
        <v>278</v>
      </c>
      <c r="H183">
        <v>255</v>
      </c>
      <c r="I183">
        <v>47235</v>
      </c>
      <c r="J183">
        <v>57922</v>
      </c>
      <c r="K183">
        <v>112</v>
      </c>
      <c r="L183" t="s">
        <v>45</v>
      </c>
      <c r="M183" t="s">
        <v>42</v>
      </c>
      <c r="N183" t="s">
        <v>18</v>
      </c>
    </row>
    <row r="184" spans="1:14">
      <c r="A184" t="s">
        <v>223</v>
      </c>
      <c r="B184" t="s">
        <v>24</v>
      </c>
      <c r="C184" s="7">
        <v>45496</v>
      </c>
      <c r="D184" t="s">
        <v>15</v>
      </c>
      <c r="E184" t="s">
        <v>41</v>
      </c>
      <c r="F184">
        <v>3204</v>
      </c>
      <c r="G184">
        <v>398</v>
      </c>
      <c r="H184">
        <v>85</v>
      </c>
      <c r="I184">
        <v>22020</v>
      </c>
      <c r="J184">
        <v>58353</v>
      </c>
      <c r="K184">
        <v>286</v>
      </c>
      <c r="L184" t="s">
        <v>45</v>
      </c>
      <c r="M184" t="s">
        <v>375</v>
      </c>
      <c r="N184" t="s">
        <v>22</v>
      </c>
    </row>
    <row r="185" spans="1:14">
      <c r="A185" t="s">
        <v>224</v>
      </c>
      <c r="B185" t="s">
        <v>24</v>
      </c>
      <c r="C185" s="7">
        <v>45486</v>
      </c>
      <c r="D185" t="s">
        <v>25</v>
      </c>
      <c r="E185" t="s">
        <v>37</v>
      </c>
      <c r="F185">
        <v>2408</v>
      </c>
      <c r="G185">
        <v>323</v>
      </c>
      <c r="H185">
        <v>251</v>
      </c>
      <c r="I185">
        <v>47599</v>
      </c>
      <c r="J185">
        <v>35543</v>
      </c>
      <c r="K185">
        <v>287</v>
      </c>
      <c r="L185" t="s">
        <v>376</v>
      </c>
      <c r="M185" t="s">
        <v>42</v>
      </c>
      <c r="N185" t="s">
        <v>18</v>
      </c>
    </row>
    <row r="186" spans="1:14">
      <c r="A186" t="s">
        <v>225</v>
      </c>
      <c r="B186" t="s">
        <v>31</v>
      </c>
      <c r="C186" s="7">
        <v>45769</v>
      </c>
      <c r="D186" t="s">
        <v>57</v>
      </c>
      <c r="E186" t="s">
        <v>26</v>
      </c>
      <c r="F186">
        <v>2733</v>
      </c>
      <c r="G186">
        <v>297</v>
      </c>
      <c r="H186">
        <v>235</v>
      </c>
      <c r="I186">
        <v>37980</v>
      </c>
      <c r="J186">
        <v>33058</v>
      </c>
      <c r="K186">
        <v>219</v>
      </c>
      <c r="L186" t="s">
        <v>21</v>
      </c>
      <c r="M186" t="s">
        <v>45</v>
      </c>
      <c r="N186" t="s">
        <v>59</v>
      </c>
    </row>
    <row r="187" spans="1:14">
      <c r="A187" t="s">
        <v>226</v>
      </c>
      <c r="B187" t="s">
        <v>24</v>
      </c>
      <c r="C187" s="7">
        <v>45459</v>
      </c>
      <c r="D187" t="s">
        <v>25</v>
      </c>
      <c r="E187" t="s">
        <v>20</v>
      </c>
      <c r="F187">
        <v>4618</v>
      </c>
      <c r="G187">
        <v>312</v>
      </c>
      <c r="H187">
        <v>254</v>
      </c>
      <c r="I187">
        <v>22571</v>
      </c>
      <c r="J187">
        <v>29453</v>
      </c>
      <c r="K187">
        <v>197</v>
      </c>
      <c r="L187" t="s">
        <v>376</v>
      </c>
      <c r="M187" t="s">
        <v>42</v>
      </c>
      <c r="N187" t="s">
        <v>18</v>
      </c>
    </row>
    <row r="188" spans="1:14">
      <c r="A188" t="s">
        <v>227</v>
      </c>
      <c r="B188" t="s">
        <v>31</v>
      </c>
      <c r="C188" s="7">
        <v>45795</v>
      </c>
      <c r="D188" t="s">
        <v>57</v>
      </c>
      <c r="E188" t="s">
        <v>29</v>
      </c>
      <c r="F188">
        <v>4210</v>
      </c>
      <c r="G188">
        <v>319</v>
      </c>
      <c r="H188">
        <v>350</v>
      </c>
      <c r="I188">
        <v>37762</v>
      </c>
      <c r="J188">
        <v>55162</v>
      </c>
      <c r="K188">
        <v>204</v>
      </c>
      <c r="L188" t="s">
        <v>21</v>
      </c>
      <c r="M188" t="s">
        <v>45</v>
      </c>
      <c r="N188" t="s">
        <v>59</v>
      </c>
    </row>
    <row r="189" spans="1:14">
      <c r="A189" t="s">
        <v>228</v>
      </c>
      <c r="B189" t="s">
        <v>14</v>
      </c>
      <c r="C189" s="7">
        <v>45814</v>
      </c>
      <c r="D189" t="s">
        <v>15</v>
      </c>
      <c r="E189" t="s">
        <v>29</v>
      </c>
      <c r="F189">
        <v>3987</v>
      </c>
      <c r="G189">
        <v>171</v>
      </c>
      <c r="H189">
        <v>274</v>
      </c>
      <c r="I189">
        <v>45122</v>
      </c>
      <c r="J189">
        <v>65431</v>
      </c>
      <c r="K189">
        <v>168</v>
      </c>
      <c r="L189" t="s">
        <v>21</v>
      </c>
      <c r="M189" t="s">
        <v>375</v>
      </c>
      <c r="N189" t="s">
        <v>22</v>
      </c>
    </row>
    <row r="190" spans="1:14">
      <c r="A190" t="s">
        <v>229</v>
      </c>
      <c r="B190" t="s">
        <v>31</v>
      </c>
      <c r="C190" s="7">
        <v>45708</v>
      </c>
      <c r="D190" t="s">
        <v>57</v>
      </c>
      <c r="E190" t="s">
        <v>37</v>
      </c>
      <c r="F190">
        <v>4957</v>
      </c>
      <c r="G190">
        <v>262</v>
      </c>
      <c r="H190">
        <v>365</v>
      </c>
      <c r="I190">
        <v>49199</v>
      </c>
      <c r="J190">
        <v>40314</v>
      </c>
      <c r="K190">
        <v>216</v>
      </c>
      <c r="L190" t="s">
        <v>21</v>
      </c>
      <c r="M190" t="s">
        <v>45</v>
      </c>
      <c r="N190" t="s">
        <v>59</v>
      </c>
    </row>
    <row r="191" spans="1:14">
      <c r="A191" t="s">
        <v>230</v>
      </c>
      <c r="B191" t="s">
        <v>14</v>
      </c>
      <c r="C191" s="7">
        <v>45673</v>
      </c>
      <c r="D191" t="s">
        <v>15</v>
      </c>
      <c r="E191" t="s">
        <v>32</v>
      </c>
      <c r="F191">
        <v>2605</v>
      </c>
      <c r="G191">
        <v>282</v>
      </c>
      <c r="H191">
        <v>148</v>
      </c>
      <c r="I191">
        <v>32201</v>
      </c>
      <c r="J191">
        <v>49583</v>
      </c>
      <c r="K191">
        <v>241</v>
      </c>
      <c r="L191" t="s">
        <v>45</v>
      </c>
      <c r="M191" t="s">
        <v>42</v>
      </c>
      <c r="N191" t="s">
        <v>18</v>
      </c>
    </row>
    <row r="192" spans="1:14">
      <c r="A192" t="s">
        <v>231</v>
      </c>
      <c r="B192" t="s">
        <v>31</v>
      </c>
      <c r="C192" s="7">
        <v>45346</v>
      </c>
      <c r="D192" t="s">
        <v>57</v>
      </c>
      <c r="E192" t="s">
        <v>16</v>
      </c>
      <c r="F192">
        <v>4221</v>
      </c>
      <c r="G192">
        <v>307</v>
      </c>
      <c r="H192">
        <v>58</v>
      </c>
      <c r="I192">
        <v>45080</v>
      </c>
      <c r="J192">
        <v>37214</v>
      </c>
      <c r="K192">
        <v>240</v>
      </c>
      <c r="L192" t="s">
        <v>21</v>
      </c>
      <c r="M192" t="s">
        <v>45</v>
      </c>
      <c r="N192" t="s">
        <v>59</v>
      </c>
    </row>
    <row r="193" spans="1:14">
      <c r="A193" t="s">
        <v>232</v>
      </c>
      <c r="B193" t="s">
        <v>24</v>
      </c>
      <c r="C193" s="7">
        <v>45551</v>
      </c>
      <c r="D193" t="s">
        <v>25</v>
      </c>
      <c r="E193" t="s">
        <v>35</v>
      </c>
      <c r="F193">
        <v>4422</v>
      </c>
      <c r="G193">
        <v>434</v>
      </c>
      <c r="H193">
        <v>156</v>
      </c>
      <c r="I193">
        <v>56165</v>
      </c>
      <c r="J193">
        <v>52431</v>
      </c>
      <c r="K193">
        <v>173</v>
      </c>
      <c r="L193" t="s">
        <v>21</v>
      </c>
      <c r="M193" t="s">
        <v>376</v>
      </c>
      <c r="N193" t="s">
        <v>18</v>
      </c>
    </row>
    <row r="194" spans="1:14">
      <c r="A194" t="s">
        <v>233</v>
      </c>
      <c r="B194" t="s">
        <v>31</v>
      </c>
      <c r="C194" s="7">
        <v>45447</v>
      </c>
      <c r="D194" t="s">
        <v>57</v>
      </c>
      <c r="E194" t="s">
        <v>29</v>
      </c>
      <c r="F194">
        <v>1211</v>
      </c>
      <c r="G194">
        <v>431</v>
      </c>
      <c r="H194">
        <v>83</v>
      </c>
      <c r="I194">
        <v>26532</v>
      </c>
      <c r="J194">
        <v>47305</v>
      </c>
      <c r="K194">
        <v>232</v>
      </c>
      <c r="L194" t="s">
        <v>21</v>
      </c>
      <c r="M194" t="s">
        <v>45</v>
      </c>
      <c r="N194" t="s">
        <v>59</v>
      </c>
    </row>
    <row r="195" spans="1:14">
      <c r="A195" t="s">
        <v>234</v>
      </c>
      <c r="B195" t="s">
        <v>24</v>
      </c>
      <c r="C195" s="7">
        <v>45422</v>
      </c>
      <c r="D195" t="s">
        <v>25</v>
      </c>
      <c r="E195" t="s">
        <v>20</v>
      </c>
      <c r="F195">
        <v>2784</v>
      </c>
      <c r="G195">
        <v>111</v>
      </c>
      <c r="H195">
        <v>399</v>
      </c>
      <c r="I195">
        <v>58366</v>
      </c>
      <c r="J195">
        <v>69512</v>
      </c>
      <c r="K195">
        <v>269</v>
      </c>
      <c r="L195" t="s">
        <v>376</v>
      </c>
      <c r="M195" t="s">
        <v>42</v>
      </c>
      <c r="N195" t="s">
        <v>18</v>
      </c>
    </row>
    <row r="196" spans="1:14">
      <c r="A196" t="s">
        <v>235</v>
      </c>
      <c r="B196" t="s">
        <v>31</v>
      </c>
      <c r="C196" s="7">
        <v>45305</v>
      </c>
      <c r="D196" t="s">
        <v>15</v>
      </c>
      <c r="E196" t="s">
        <v>26</v>
      </c>
      <c r="F196">
        <v>3634</v>
      </c>
      <c r="G196">
        <v>280</v>
      </c>
      <c r="H196">
        <v>399</v>
      </c>
      <c r="I196">
        <v>40256</v>
      </c>
      <c r="J196">
        <v>52605</v>
      </c>
      <c r="K196">
        <v>213</v>
      </c>
      <c r="L196" t="s">
        <v>21</v>
      </c>
      <c r="M196" t="s">
        <v>377</v>
      </c>
      <c r="N196" t="s">
        <v>22</v>
      </c>
    </row>
    <row r="197" spans="1:14">
      <c r="A197" t="s">
        <v>236</v>
      </c>
      <c r="B197" t="s">
        <v>14</v>
      </c>
      <c r="C197" s="7">
        <v>45669</v>
      </c>
      <c r="D197" t="s">
        <v>15</v>
      </c>
      <c r="E197" t="s">
        <v>49</v>
      </c>
      <c r="F197">
        <v>1771</v>
      </c>
      <c r="G197">
        <v>487</v>
      </c>
      <c r="H197">
        <v>272</v>
      </c>
      <c r="I197">
        <v>48810</v>
      </c>
      <c r="J197">
        <v>48084</v>
      </c>
      <c r="K197">
        <v>272</v>
      </c>
      <c r="L197" t="s">
        <v>45</v>
      </c>
      <c r="M197" t="s">
        <v>42</v>
      </c>
      <c r="N197" t="s">
        <v>18</v>
      </c>
    </row>
    <row r="198" spans="1:14">
      <c r="A198" t="s">
        <v>237</v>
      </c>
      <c r="B198" t="s">
        <v>31</v>
      </c>
      <c r="C198" s="7">
        <v>45634</v>
      </c>
      <c r="D198" t="s">
        <v>15</v>
      </c>
      <c r="E198" t="s">
        <v>41</v>
      </c>
      <c r="F198">
        <v>1424</v>
      </c>
      <c r="G198">
        <v>396</v>
      </c>
      <c r="H198">
        <v>312</v>
      </c>
      <c r="I198">
        <v>59517</v>
      </c>
      <c r="J198">
        <v>46102</v>
      </c>
      <c r="K198">
        <v>239</v>
      </c>
      <c r="L198" t="s">
        <v>21</v>
      </c>
      <c r="M198" t="s">
        <v>377</v>
      </c>
      <c r="N198" t="s">
        <v>22</v>
      </c>
    </row>
    <row r="199" spans="1:14">
      <c r="A199" t="s">
        <v>238</v>
      </c>
      <c r="B199" t="s">
        <v>24</v>
      </c>
      <c r="C199" s="7">
        <v>45689</v>
      </c>
      <c r="D199" t="s">
        <v>25</v>
      </c>
      <c r="E199" t="s">
        <v>41</v>
      </c>
      <c r="F199">
        <v>1079</v>
      </c>
      <c r="G199">
        <v>265</v>
      </c>
      <c r="H199">
        <v>190</v>
      </c>
      <c r="I199">
        <v>43786</v>
      </c>
      <c r="J199">
        <v>72428</v>
      </c>
      <c r="K199">
        <v>222</v>
      </c>
      <c r="L199" t="s">
        <v>45</v>
      </c>
      <c r="M199" t="s">
        <v>42</v>
      </c>
      <c r="N199" t="s">
        <v>18</v>
      </c>
    </row>
    <row r="200" spans="1:14">
      <c r="A200" t="s">
        <v>239</v>
      </c>
      <c r="B200" t="s">
        <v>24</v>
      </c>
      <c r="C200" s="7">
        <v>45484</v>
      </c>
      <c r="D200" t="s">
        <v>25</v>
      </c>
      <c r="E200" t="s">
        <v>37</v>
      </c>
      <c r="F200">
        <v>4247</v>
      </c>
      <c r="G200">
        <v>179</v>
      </c>
      <c r="H200">
        <v>175</v>
      </c>
      <c r="I200">
        <v>32991</v>
      </c>
      <c r="J200">
        <v>70120</v>
      </c>
      <c r="K200">
        <v>276</v>
      </c>
      <c r="L200" t="s">
        <v>45</v>
      </c>
      <c r="M200" t="s">
        <v>42</v>
      </c>
      <c r="N200" t="s">
        <v>18</v>
      </c>
    </row>
    <row r="201" spans="1:14">
      <c r="A201" t="s">
        <v>240</v>
      </c>
      <c r="B201" t="s">
        <v>24</v>
      </c>
      <c r="C201" s="7">
        <v>45369</v>
      </c>
      <c r="D201" t="s">
        <v>15</v>
      </c>
      <c r="E201" t="s">
        <v>26</v>
      </c>
      <c r="F201">
        <v>2033</v>
      </c>
      <c r="G201">
        <v>420</v>
      </c>
      <c r="H201">
        <v>94</v>
      </c>
      <c r="I201">
        <v>56290</v>
      </c>
      <c r="J201">
        <v>57391</v>
      </c>
      <c r="K201">
        <v>196</v>
      </c>
      <c r="L201" t="s">
        <v>42</v>
      </c>
      <c r="M201" t="s">
        <v>375</v>
      </c>
      <c r="N201" t="s">
        <v>18</v>
      </c>
    </row>
    <row r="202" spans="1:14">
      <c r="A202" t="s">
        <v>241</v>
      </c>
      <c r="B202" t="s">
        <v>24</v>
      </c>
      <c r="C202" s="7">
        <v>45547</v>
      </c>
      <c r="D202" t="s">
        <v>25</v>
      </c>
      <c r="E202" t="s">
        <v>29</v>
      </c>
      <c r="F202">
        <v>1839</v>
      </c>
      <c r="G202">
        <v>223</v>
      </c>
      <c r="H202">
        <v>171</v>
      </c>
      <c r="I202">
        <v>35459</v>
      </c>
      <c r="J202">
        <v>69988</v>
      </c>
      <c r="K202">
        <v>114</v>
      </c>
      <c r="L202" t="s">
        <v>376</v>
      </c>
      <c r="M202" t="s">
        <v>42</v>
      </c>
      <c r="N202" t="s">
        <v>18</v>
      </c>
    </row>
    <row r="203" spans="1:14">
      <c r="A203" t="s">
        <v>242</v>
      </c>
      <c r="B203" t="s">
        <v>24</v>
      </c>
      <c r="C203" s="7">
        <v>45302</v>
      </c>
      <c r="D203" t="s">
        <v>25</v>
      </c>
      <c r="E203" t="s">
        <v>29</v>
      </c>
      <c r="F203">
        <v>2340</v>
      </c>
      <c r="G203">
        <v>141</v>
      </c>
      <c r="H203">
        <v>206</v>
      </c>
      <c r="I203">
        <v>24916</v>
      </c>
      <c r="J203">
        <v>30582</v>
      </c>
      <c r="K203">
        <v>157</v>
      </c>
      <c r="L203" t="s">
        <v>45</v>
      </c>
      <c r="M203" t="s">
        <v>42</v>
      </c>
      <c r="N203" t="s">
        <v>18</v>
      </c>
    </row>
    <row r="204" spans="1:14">
      <c r="A204" t="s">
        <v>243</v>
      </c>
      <c r="B204" t="s">
        <v>14</v>
      </c>
      <c r="C204" s="7">
        <v>45571</v>
      </c>
      <c r="D204" t="s">
        <v>15</v>
      </c>
      <c r="E204" t="s">
        <v>41</v>
      </c>
      <c r="F204">
        <v>2080</v>
      </c>
      <c r="G204">
        <v>389</v>
      </c>
      <c r="H204">
        <v>92</v>
      </c>
      <c r="I204">
        <v>30971</v>
      </c>
      <c r="J204">
        <v>25347</v>
      </c>
      <c r="K204">
        <v>111</v>
      </c>
      <c r="L204" t="s">
        <v>21</v>
      </c>
      <c r="M204" t="s">
        <v>375</v>
      </c>
      <c r="N204" t="s">
        <v>22</v>
      </c>
    </row>
    <row r="205" spans="1:14">
      <c r="A205" t="s">
        <v>244</v>
      </c>
      <c r="B205" t="s">
        <v>24</v>
      </c>
      <c r="C205" s="7">
        <v>45656</v>
      </c>
      <c r="D205" t="s">
        <v>15</v>
      </c>
      <c r="E205" t="s">
        <v>37</v>
      </c>
      <c r="F205">
        <v>4214</v>
      </c>
      <c r="G205">
        <v>286</v>
      </c>
      <c r="H205">
        <v>127</v>
      </c>
      <c r="I205">
        <v>47293</v>
      </c>
      <c r="J205">
        <v>27184</v>
      </c>
      <c r="K205">
        <v>232</v>
      </c>
      <c r="L205" t="s">
        <v>42</v>
      </c>
      <c r="M205" t="s">
        <v>375</v>
      </c>
      <c r="N205" t="s">
        <v>18</v>
      </c>
    </row>
    <row r="206" spans="1:14">
      <c r="A206" t="s">
        <v>245</v>
      </c>
      <c r="B206" t="s">
        <v>24</v>
      </c>
      <c r="C206" s="7">
        <v>45763</v>
      </c>
      <c r="D206" t="s">
        <v>15</v>
      </c>
      <c r="E206" t="s">
        <v>29</v>
      </c>
      <c r="F206">
        <v>3792</v>
      </c>
      <c r="G206">
        <v>315</v>
      </c>
      <c r="H206">
        <v>120</v>
      </c>
      <c r="I206">
        <v>54592</v>
      </c>
      <c r="J206">
        <v>67886</v>
      </c>
      <c r="K206">
        <v>117</v>
      </c>
      <c r="L206" t="s">
        <v>45</v>
      </c>
      <c r="M206" t="s">
        <v>375</v>
      </c>
      <c r="N206" t="s">
        <v>22</v>
      </c>
    </row>
    <row r="207" spans="1:14">
      <c r="A207" t="s">
        <v>246</v>
      </c>
      <c r="B207" t="s">
        <v>24</v>
      </c>
      <c r="C207" s="7">
        <v>45525</v>
      </c>
      <c r="D207" t="s">
        <v>25</v>
      </c>
      <c r="E207" t="s">
        <v>20</v>
      </c>
      <c r="F207">
        <v>3989</v>
      </c>
      <c r="G207">
        <v>476</v>
      </c>
      <c r="H207">
        <v>128</v>
      </c>
      <c r="I207">
        <v>57569</v>
      </c>
      <c r="J207">
        <v>40193</v>
      </c>
      <c r="K207">
        <v>222</v>
      </c>
      <c r="L207" t="s">
        <v>21</v>
      </c>
      <c r="M207" t="s">
        <v>376</v>
      </c>
      <c r="N207" t="s">
        <v>18</v>
      </c>
    </row>
    <row r="208" spans="1:14">
      <c r="A208" t="s">
        <v>247</v>
      </c>
      <c r="B208" t="s">
        <v>24</v>
      </c>
      <c r="C208" s="7">
        <v>45387</v>
      </c>
      <c r="D208" t="s">
        <v>25</v>
      </c>
      <c r="E208" t="s">
        <v>29</v>
      </c>
      <c r="F208">
        <v>2857</v>
      </c>
      <c r="G208">
        <v>443</v>
      </c>
      <c r="H208">
        <v>359</v>
      </c>
      <c r="I208">
        <v>51519</v>
      </c>
      <c r="J208">
        <v>28256</v>
      </c>
      <c r="K208">
        <v>155</v>
      </c>
      <c r="L208" t="s">
        <v>45</v>
      </c>
      <c r="M208" t="s">
        <v>42</v>
      </c>
      <c r="N208" t="s">
        <v>18</v>
      </c>
    </row>
    <row r="209" spans="1:14">
      <c r="A209" t="s">
        <v>248</v>
      </c>
      <c r="B209" t="s">
        <v>24</v>
      </c>
      <c r="C209" s="7">
        <v>45754</v>
      </c>
      <c r="D209" t="s">
        <v>15</v>
      </c>
      <c r="E209" t="s">
        <v>49</v>
      </c>
      <c r="F209">
        <v>1403</v>
      </c>
      <c r="G209">
        <v>385</v>
      </c>
      <c r="H209">
        <v>344</v>
      </c>
      <c r="I209">
        <v>54223</v>
      </c>
      <c r="J209">
        <v>72595</v>
      </c>
      <c r="K209">
        <v>239</v>
      </c>
      <c r="L209" t="s">
        <v>45</v>
      </c>
      <c r="M209" t="s">
        <v>375</v>
      </c>
      <c r="N209" t="s">
        <v>22</v>
      </c>
    </row>
    <row r="210" spans="1:14">
      <c r="A210" t="s">
        <v>249</v>
      </c>
      <c r="B210" t="s">
        <v>24</v>
      </c>
      <c r="C210" s="7">
        <v>45492</v>
      </c>
      <c r="D210" t="s">
        <v>25</v>
      </c>
      <c r="E210" t="s">
        <v>35</v>
      </c>
      <c r="F210">
        <v>3071</v>
      </c>
      <c r="G210">
        <v>126</v>
      </c>
      <c r="H210">
        <v>200</v>
      </c>
      <c r="I210">
        <v>44013</v>
      </c>
      <c r="J210">
        <v>44679</v>
      </c>
      <c r="K210">
        <v>118</v>
      </c>
      <c r="L210" t="s">
        <v>21</v>
      </c>
      <c r="M210" t="s">
        <v>376</v>
      </c>
      <c r="N210" t="s">
        <v>18</v>
      </c>
    </row>
    <row r="211" spans="1:14">
      <c r="A211" t="s">
        <v>250</v>
      </c>
      <c r="B211" t="s">
        <v>24</v>
      </c>
      <c r="C211" s="7">
        <v>45780</v>
      </c>
      <c r="D211" t="s">
        <v>25</v>
      </c>
      <c r="E211" t="s">
        <v>41</v>
      </c>
      <c r="F211">
        <v>1010</v>
      </c>
      <c r="G211">
        <v>361</v>
      </c>
      <c r="H211">
        <v>240</v>
      </c>
      <c r="I211">
        <v>47229</v>
      </c>
      <c r="J211">
        <v>72573</v>
      </c>
      <c r="K211">
        <v>275</v>
      </c>
      <c r="L211" t="s">
        <v>45</v>
      </c>
      <c r="M211" t="s">
        <v>42</v>
      </c>
      <c r="N211" t="s">
        <v>18</v>
      </c>
    </row>
    <row r="212" spans="1:14">
      <c r="A212" t="s">
        <v>251</v>
      </c>
      <c r="B212" t="s">
        <v>24</v>
      </c>
      <c r="C212" s="7">
        <v>45396</v>
      </c>
      <c r="D212" t="s">
        <v>25</v>
      </c>
      <c r="E212" t="s">
        <v>16</v>
      </c>
      <c r="F212">
        <v>1295</v>
      </c>
      <c r="G212">
        <v>153</v>
      </c>
      <c r="H212">
        <v>81</v>
      </c>
      <c r="I212">
        <v>48350</v>
      </c>
      <c r="J212">
        <v>61033</v>
      </c>
      <c r="K212">
        <v>232</v>
      </c>
      <c r="L212" t="s">
        <v>21</v>
      </c>
      <c r="M212" t="s">
        <v>376</v>
      </c>
      <c r="N212" t="s">
        <v>18</v>
      </c>
    </row>
    <row r="213" spans="1:14">
      <c r="A213" t="s">
        <v>252</v>
      </c>
      <c r="B213" t="s">
        <v>24</v>
      </c>
      <c r="C213" s="7">
        <v>45827</v>
      </c>
      <c r="D213" t="s">
        <v>25</v>
      </c>
      <c r="E213" t="s">
        <v>35</v>
      </c>
      <c r="F213">
        <v>1433</v>
      </c>
      <c r="G213">
        <v>452</v>
      </c>
      <c r="H213">
        <v>305</v>
      </c>
      <c r="I213">
        <v>54541</v>
      </c>
      <c r="J213">
        <v>63700</v>
      </c>
      <c r="K213">
        <v>296</v>
      </c>
      <c r="L213" t="s">
        <v>21</v>
      </c>
      <c r="M213" t="s">
        <v>376</v>
      </c>
      <c r="N213" t="s">
        <v>18</v>
      </c>
    </row>
    <row r="214" spans="1:14">
      <c r="A214" t="s">
        <v>253</v>
      </c>
      <c r="B214" t="s">
        <v>14</v>
      </c>
      <c r="C214" s="7">
        <v>45832</v>
      </c>
      <c r="D214" t="s">
        <v>25</v>
      </c>
      <c r="E214" t="s">
        <v>37</v>
      </c>
      <c r="F214">
        <v>4902</v>
      </c>
      <c r="G214">
        <v>422</v>
      </c>
      <c r="H214">
        <v>376</v>
      </c>
      <c r="I214">
        <v>31674</v>
      </c>
      <c r="J214">
        <v>53225</v>
      </c>
      <c r="K214">
        <v>147</v>
      </c>
      <c r="L214" t="s">
        <v>42</v>
      </c>
      <c r="M214" t="s">
        <v>375</v>
      </c>
      <c r="N214" t="s">
        <v>55</v>
      </c>
    </row>
    <row r="215" spans="1:14">
      <c r="A215" t="s">
        <v>254</v>
      </c>
      <c r="B215" t="s">
        <v>24</v>
      </c>
      <c r="C215" s="7">
        <v>45574</v>
      </c>
      <c r="D215" t="s">
        <v>15</v>
      </c>
      <c r="E215" t="s">
        <v>29</v>
      </c>
      <c r="F215">
        <v>2659</v>
      </c>
      <c r="G215">
        <v>167</v>
      </c>
      <c r="H215">
        <v>73</v>
      </c>
      <c r="I215">
        <v>23090</v>
      </c>
      <c r="J215">
        <v>25872</v>
      </c>
      <c r="K215">
        <v>293</v>
      </c>
      <c r="L215" t="s">
        <v>45</v>
      </c>
      <c r="M215" t="s">
        <v>375</v>
      </c>
      <c r="N215" t="s">
        <v>22</v>
      </c>
    </row>
    <row r="216" spans="1:14">
      <c r="A216" t="s">
        <v>255</v>
      </c>
      <c r="B216" t="s">
        <v>31</v>
      </c>
      <c r="C216" s="7">
        <v>45672</v>
      </c>
      <c r="D216" t="s">
        <v>15</v>
      </c>
      <c r="E216" t="s">
        <v>51</v>
      </c>
      <c r="F216">
        <v>2599</v>
      </c>
      <c r="G216">
        <v>324</v>
      </c>
      <c r="H216">
        <v>182</v>
      </c>
      <c r="I216">
        <v>37525</v>
      </c>
      <c r="J216">
        <v>37216</v>
      </c>
      <c r="K216">
        <v>186</v>
      </c>
      <c r="L216" t="s">
        <v>21</v>
      </c>
      <c r="M216" t="s">
        <v>377</v>
      </c>
      <c r="N216" t="s">
        <v>22</v>
      </c>
    </row>
    <row r="217" spans="1:14">
      <c r="A217" t="s">
        <v>256</v>
      </c>
      <c r="B217" t="s">
        <v>24</v>
      </c>
      <c r="C217" s="7">
        <v>45669</v>
      </c>
      <c r="D217" t="s">
        <v>15</v>
      </c>
      <c r="E217" t="s">
        <v>32</v>
      </c>
      <c r="F217">
        <v>1765</v>
      </c>
      <c r="G217">
        <v>285</v>
      </c>
      <c r="H217">
        <v>100</v>
      </c>
      <c r="I217">
        <v>41313</v>
      </c>
      <c r="J217">
        <v>56575</v>
      </c>
      <c r="K217">
        <v>174</v>
      </c>
      <c r="L217" t="s">
        <v>45</v>
      </c>
      <c r="M217" t="s">
        <v>375</v>
      </c>
      <c r="N217" t="s">
        <v>22</v>
      </c>
    </row>
    <row r="218" spans="1:14">
      <c r="A218" t="s">
        <v>257</v>
      </c>
      <c r="B218" t="s">
        <v>14</v>
      </c>
      <c r="C218" s="7">
        <v>45808</v>
      </c>
      <c r="D218" t="s">
        <v>15</v>
      </c>
      <c r="E218" t="s">
        <v>35</v>
      </c>
      <c r="F218">
        <v>2169</v>
      </c>
      <c r="G218">
        <v>240</v>
      </c>
      <c r="H218">
        <v>57</v>
      </c>
      <c r="I218">
        <v>26109</v>
      </c>
      <c r="J218">
        <v>46667</v>
      </c>
      <c r="K218">
        <v>133</v>
      </c>
      <c r="L218" t="s">
        <v>45</v>
      </c>
      <c r="M218" t="s">
        <v>42</v>
      </c>
      <c r="N218" t="s">
        <v>18</v>
      </c>
    </row>
    <row r="219" spans="1:14">
      <c r="A219" t="s">
        <v>258</v>
      </c>
      <c r="B219" t="s">
        <v>24</v>
      </c>
      <c r="C219" s="7">
        <v>45579</v>
      </c>
      <c r="D219" t="s">
        <v>25</v>
      </c>
      <c r="E219" t="s">
        <v>20</v>
      </c>
      <c r="F219">
        <v>4303</v>
      </c>
      <c r="G219">
        <v>306</v>
      </c>
      <c r="H219">
        <v>302</v>
      </c>
      <c r="I219">
        <v>39575</v>
      </c>
      <c r="J219">
        <v>33762</v>
      </c>
      <c r="K219">
        <v>265</v>
      </c>
      <c r="L219" t="s">
        <v>21</v>
      </c>
      <c r="M219" t="s">
        <v>376</v>
      </c>
      <c r="N219" t="s">
        <v>18</v>
      </c>
    </row>
    <row r="220" spans="1:14">
      <c r="A220" t="s">
        <v>259</v>
      </c>
      <c r="B220" t="s">
        <v>24</v>
      </c>
      <c r="C220" s="7">
        <v>45332</v>
      </c>
      <c r="D220" t="s">
        <v>15</v>
      </c>
      <c r="E220" t="s">
        <v>49</v>
      </c>
      <c r="F220">
        <v>1519</v>
      </c>
      <c r="G220">
        <v>456</v>
      </c>
      <c r="H220">
        <v>379</v>
      </c>
      <c r="I220">
        <v>51611</v>
      </c>
      <c r="J220">
        <v>45880</v>
      </c>
      <c r="K220">
        <v>176</v>
      </c>
      <c r="L220" t="s">
        <v>45</v>
      </c>
      <c r="M220" t="s">
        <v>375</v>
      </c>
      <c r="N220" t="s">
        <v>22</v>
      </c>
    </row>
    <row r="221" spans="1:14">
      <c r="A221" t="s">
        <v>260</v>
      </c>
      <c r="B221" t="s">
        <v>31</v>
      </c>
      <c r="C221" s="7">
        <v>45636</v>
      </c>
      <c r="D221" t="s">
        <v>15</v>
      </c>
      <c r="E221" t="s">
        <v>35</v>
      </c>
      <c r="F221">
        <v>2569</v>
      </c>
      <c r="G221">
        <v>140</v>
      </c>
      <c r="H221">
        <v>375</v>
      </c>
      <c r="I221">
        <v>38372</v>
      </c>
      <c r="J221">
        <v>22102</v>
      </c>
      <c r="K221">
        <v>255</v>
      </c>
      <c r="L221" t="s">
        <v>21</v>
      </c>
      <c r="M221" t="s">
        <v>377</v>
      </c>
      <c r="N221" t="s">
        <v>22</v>
      </c>
    </row>
    <row r="222" spans="1:14">
      <c r="A222" t="s">
        <v>261</v>
      </c>
      <c r="B222" t="s">
        <v>24</v>
      </c>
      <c r="C222" s="7">
        <v>45786</v>
      </c>
      <c r="D222" t="s">
        <v>25</v>
      </c>
      <c r="E222" t="s">
        <v>32</v>
      </c>
      <c r="F222">
        <v>2778</v>
      </c>
      <c r="G222">
        <v>241</v>
      </c>
      <c r="H222">
        <v>317</v>
      </c>
      <c r="I222">
        <v>26247</v>
      </c>
      <c r="J222">
        <v>20677</v>
      </c>
      <c r="K222">
        <v>282</v>
      </c>
      <c r="L222" t="s">
        <v>376</v>
      </c>
      <c r="M222" t="s">
        <v>42</v>
      </c>
      <c r="N222" t="s">
        <v>18</v>
      </c>
    </row>
    <row r="223" spans="1:14">
      <c r="A223" t="s">
        <v>262</v>
      </c>
      <c r="B223" t="s">
        <v>24</v>
      </c>
      <c r="C223" s="7">
        <v>45829</v>
      </c>
      <c r="D223" t="s">
        <v>15</v>
      </c>
      <c r="E223" t="s">
        <v>20</v>
      </c>
      <c r="F223">
        <v>3611</v>
      </c>
      <c r="G223">
        <v>127</v>
      </c>
      <c r="H223">
        <v>139</v>
      </c>
      <c r="I223">
        <v>44768</v>
      </c>
      <c r="J223">
        <v>29435</v>
      </c>
      <c r="K223">
        <v>178</v>
      </c>
      <c r="L223" t="s">
        <v>42</v>
      </c>
      <c r="M223" t="s">
        <v>375</v>
      </c>
      <c r="N223" t="s">
        <v>18</v>
      </c>
    </row>
    <row r="224" spans="1:14">
      <c r="A224" t="s">
        <v>263</v>
      </c>
      <c r="B224" t="s">
        <v>24</v>
      </c>
      <c r="C224" s="7">
        <v>45462</v>
      </c>
      <c r="D224" t="s">
        <v>15</v>
      </c>
      <c r="E224" t="s">
        <v>35</v>
      </c>
      <c r="F224">
        <v>1224</v>
      </c>
      <c r="G224">
        <v>168</v>
      </c>
      <c r="H224">
        <v>199</v>
      </c>
      <c r="I224">
        <v>54232</v>
      </c>
      <c r="J224">
        <v>52844</v>
      </c>
      <c r="K224">
        <v>271</v>
      </c>
      <c r="L224" t="s">
        <v>45</v>
      </c>
      <c r="M224" t="s">
        <v>375</v>
      </c>
      <c r="N224" t="s">
        <v>22</v>
      </c>
    </row>
    <row r="225" spans="1:14">
      <c r="A225" t="s">
        <v>264</v>
      </c>
      <c r="B225" t="s">
        <v>24</v>
      </c>
      <c r="C225" s="7">
        <v>45636</v>
      </c>
      <c r="D225" t="s">
        <v>15</v>
      </c>
      <c r="E225" t="s">
        <v>49</v>
      </c>
      <c r="F225">
        <v>4673</v>
      </c>
      <c r="G225">
        <v>270</v>
      </c>
      <c r="H225">
        <v>93</v>
      </c>
      <c r="I225">
        <v>45260</v>
      </c>
      <c r="J225">
        <v>57513</v>
      </c>
      <c r="K225">
        <v>103</v>
      </c>
      <c r="L225" t="s">
        <v>42</v>
      </c>
      <c r="M225" t="s">
        <v>375</v>
      </c>
      <c r="N225" t="s">
        <v>18</v>
      </c>
    </row>
    <row r="226" spans="1:14">
      <c r="A226" t="s">
        <v>265</v>
      </c>
      <c r="B226" t="s">
        <v>31</v>
      </c>
      <c r="C226" s="7">
        <v>45323</v>
      </c>
      <c r="D226" t="s">
        <v>15</v>
      </c>
      <c r="E226" t="s">
        <v>29</v>
      </c>
      <c r="F226">
        <v>1432</v>
      </c>
      <c r="G226">
        <v>437</v>
      </c>
      <c r="H226">
        <v>267</v>
      </c>
      <c r="I226">
        <v>40634</v>
      </c>
      <c r="J226">
        <v>54511</v>
      </c>
      <c r="K226">
        <v>197</v>
      </c>
      <c r="L226" t="s">
        <v>21</v>
      </c>
      <c r="M226" t="s">
        <v>377</v>
      </c>
      <c r="N226" t="s">
        <v>22</v>
      </c>
    </row>
    <row r="227" spans="1:14">
      <c r="A227" t="s">
        <v>266</v>
      </c>
      <c r="B227" t="s">
        <v>24</v>
      </c>
      <c r="C227" s="7">
        <v>45308</v>
      </c>
      <c r="D227" t="s">
        <v>25</v>
      </c>
      <c r="E227" t="s">
        <v>26</v>
      </c>
      <c r="F227">
        <v>2174</v>
      </c>
      <c r="G227">
        <v>499</v>
      </c>
      <c r="H227">
        <v>212</v>
      </c>
      <c r="I227">
        <v>54938</v>
      </c>
      <c r="J227">
        <v>27190</v>
      </c>
      <c r="K227">
        <v>265</v>
      </c>
      <c r="L227" t="s">
        <v>376</v>
      </c>
      <c r="M227" t="s">
        <v>42</v>
      </c>
      <c r="N227" t="s">
        <v>18</v>
      </c>
    </row>
    <row r="228" spans="1:14">
      <c r="A228" t="s">
        <v>267</v>
      </c>
      <c r="B228" t="s">
        <v>31</v>
      </c>
      <c r="C228" s="7">
        <v>45738</v>
      </c>
      <c r="D228" t="s">
        <v>15</v>
      </c>
      <c r="E228" t="s">
        <v>32</v>
      </c>
      <c r="F228">
        <v>4308</v>
      </c>
      <c r="G228">
        <v>171</v>
      </c>
      <c r="H228">
        <v>106</v>
      </c>
      <c r="I228">
        <v>36955</v>
      </c>
      <c r="J228">
        <v>23949</v>
      </c>
      <c r="K228">
        <v>294</v>
      </c>
      <c r="L228" t="s">
        <v>21</v>
      </c>
      <c r="M228" t="s">
        <v>377</v>
      </c>
      <c r="N228" t="s">
        <v>22</v>
      </c>
    </row>
    <row r="229" spans="1:14">
      <c r="A229" t="s">
        <v>268</v>
      </c>
      <c r="B229" t="s">
        <v>31</v>
      </c>
      <c r="C229" s="7">
        <v>45442</v>
      </c>
      <c r="D229" t="s">
        <v>57</v>
      </c>
      <c r="E229" t="s">
        <v>35</v>
      </c>
      <c r="F229">
        <v>1060</v>
      </c>
      <c r="G229">
        <v>442</v>
      </c>
      <c r="H229">
        <v>319</v>
      </c>
      <c r="I229">
        <v>57194</v>
      </c>
      <c r="J229">
        <v>24258</v>
      </c>
      <c r="K229">
        <v>101</v>
      </c>
      <c r="L229" t="s">
        <v>21</v>
      </c>
      <c r="M229" t="s">
        <v>45</v>
      </c>
      <c r="N229" t="s">
        <v>59</v>
      </c>
    </row>
    <row r="230" spans="1:14">
      <c r="A230" t="s">
        <v>269</v>
      </c>
      <c r="B230" t="s">
        <v>31</v>
      </c>
      <c r="C230" s="7">
        <v>45346</v>
      </c>
      <c r="D230" t="s">
        <v>15</v>
      </c>
      <c r="E230" t="s">
        <v>32</v>
      </c>
      <c r="F230">
        <v>4653</v>
      </c>
      <c r="G230">
        <v>226</v>
      </c>
      <c r="H230">
        <v>349</v>
      </c>
      <c r="I230">
        <v>56876</v>
      </c>
      <c r="J230">
        <v>28452</v>
      </c>
      <c r="K230">
        <v>257</v>
      </c>
      <c r="L230" t="s">
        <v>21</v>
      </c>
      <c r="M230" t="s">
        <v>377</v>
      </c>
      <c r="N230" t="s">
        <v>22</v>
      </c>
    </row>
    <row r="231" spans="1:14">
      <c r="A231" t="s">
        <v>270</v>
      </c>
      <c r="B231" t="s">
        <v>31</v>
      </c>
      <c r="C231" s="7">
        <v>45791</v>
      </c>
      <c r="D231" t="s">
        <v>15</v>
      </c>
      <c r="E231" t="s">
        <v>16</v>
      </c>
      <c r="F231">
        <v>1701</v>
      </c>
      <c r="G231">
        <v>272</v>
      </c>
      <c r="H231">
        <v>385</v>
      </c>
      <c r="I231">
        <v>47496</v>
      </c>
      <c r="J231">
        <v>40832</v>
      </c>
      <c r="K231">
        <v>246</v>
      </c>
      <c r="L231" t="s">
        <v>21</v>
      </c>
      <c r="M231" t="s">
        <v>377</v>
      </c>
      <c r="N231" t="s">
        <v>22</v>
      </c>
    </row>
    <row r="232" spans="1:14">
      <c r="A232" t="s">
        <v>271</v>
      </c>
      <c r="B232" t="s">
        <v>14</v>
      </c>
      <c r="C232" s="7">
        <v>45379</v>
      </c>
      <c r="D232" t="s">
        <v>15</v>
      </c>
      <c r="E232" t="s">
        <v>35</v>
      </c>
      <c r="F232">
        <v>1673</v>
      </c>
      <c r="G232">
        <v>280</v>
      </c>
      <c r="H232">
        <v>67</v>
      </c>
      <c r="I232">
        <v>29847</v>
      </c>
      <c r="J232">
        <v>48016</v>
      </c>
      <c r="K232">
        <v>213</v>
      </c>
      <c r="L232" t="s">
        <v>45</v>
      </c>
      <c r="M232" t="s">
        <v>42</v>
      </c>
      <c r="N232" t="s">
        <v>18</v>
      </c>
    </row>
    <row r="233" spans="1:14">
      <c r="A233" t="s">
        <v>272</v>
      </c>
      <c r="B233" t="s">
        <v>31</v>
      </c>
      <c r="C233" s="7">
        <v>45723</v>
      </c>
      <c r="D233" t="s">
        <v>15</v>
      </c>
      <c r="E233" t="s">
        <v>41</v>
      </c>
      <c r="F233">
        <v>4310</v>
      </c>
      <c r="G233">
        <v>284</v>
      </c>
      <c r="H233">
        <v>306</v>
      </c>
      <c r="I233">
        <v>44606</v>
      </c>
      <c r="J233">
        <v>42604</v>
      </c>
      <c r="K233">
        <v>290</v>
      </c>
      <c r="L233" t="s">
        <v>21</v>
      </c>
      <c r="M233" t="s">
        <v>377</v>
      </c>
      <c r="N233" t="s">
        <v>22</v>
      </c>
    </row>
    <row r="234" spans="1:14">
      <c r="A234" t="s">
        <v>273</v>
      </c>
      <c r="B234" t="s">
        <v>24</v>
      </c>
      <c r="C234" s="7">
        <v>45585</v>
      </c>
      <c r="D234" t="s">
        <v>15</v>
      </c>
      <c r="E234" t="s">
        <v>49</v>
      </c>
      <c r="F234">
        <v>2752</v>
      </c>
      <c r="G234">
        <v>309</v>
      </c>
      <c r="H234">
        <v>91</v>
      </c>
      <c r="I234">
        <v>39038</v>
      </c>
      <c r="J234">
        <v>28095</v>
      </c>
      <c r="K234">
        <v>277</v>
      </c>
      <c r="L234" t="s">
        <v>42</v>
      </c>
      <c r="M234" t="s">
        <v>375</v>
      </c>
      <c r="N234" t="s">
        <v>18</v>
      </c>
    </row>
    <row r="235" spans="1:14">
      <c r="A235" t="s">
        <v>274</v>
      </c>
      <c r="B235" t="s">
        <v>24</v>
      </c>
      <c r="C235" s="7">
        <v>45324</v>
      </c>
      <c r="D235" t="s">
        <v>15</v>
      </c>
      <c r="E235" t="s">
        <v>49</v>
      </c>
      <c r="F235">
        <v>3818</v>
      </c>
      <c r="G235">
        <v>115</v>
      </c>
      <c r="H235">
        <v>286</v>
      </c>
      <c r="I235">
        <v>25127</v>
      </c>
      <c r="J235">
        <v>22277</v>
      </c>
      <c r="K235">
        <v>263</v>
      </c>
      <c r="L235" t="s">
        <v>42</v>
      </c>
      <c r="M235" t="s">
        <v>375</v>
      </c>
      <c r="N235" t="s">
        <v>18</v>
      </c>
    </row>
    <row r="236" spans="1:14">
      <c r="A236" t="s">
        <v>275</v>
      </c>
      <c r="B236" t="s">
        <v>31</v>
      </c>
      <c r="C236" s="7">
        <v>45542</v>
      </c>
      <c r="D236" t="s">
        <v>15</v>
      </c>
      <c r="E236" t="s">
        <v>51</v>
      </c>
      <c r="F236">
        <v>2101</v>
      </c>
      <c r="G236">
        <v>411</v>
      </c>
      <c r="H236">
        <v>190</v>
      </c>
      <c r="I236">
        <v>41791</v>
      </c>
      <c r="J236">
        <v>57090</v>
      </c>
      <c r="K236">
        <v>172</v>
      </c>
      <c r="L236" t="s">
        <v>21</v>
      </c>
      <c r="M236" t="s">
        <v>377</v>
      </c>
      <c r="N236" t="s">
        <v>22</v>
      </c>
    </row>
    <row r="237" spans="1:14">
      <c r="A237" t="s">
        <v>276</v>
      </c>
      <c r="B237" t="s">
        <v>14</v>
      </c>
      <c r="C237" s="7">
        <v>45646</v>
      </c>
      <c r="D237" t="s">
        <v>15</v>
      </c>
      <c r="E237" t="s">
        <v>16</v>
      </c>
      <c r="F237">
        <v>2519</v>
      </c>
      <c r="G237">
        <v>202</v>
      </c>
      <c r="H237">
        <v>239</v>
      </c>
      <c r="I237">
        <v>36245</v>
      </c>
      <c r="J237">
        <v>48606</v>
      </c>
      <c r="K237">
        <v>145</v>
      </c>
      <c r="L237" t="s">
        <v>21</v>
      </c>
      <c r="M237" t="s">
        <v>375</v>
      </c>
      <c r="N237" t="s">
        <v>22</v>
      </c>
    </row>
    <row r="238" spans="1:14">
      <c r="A238" t="s">
        <v>277</v>
      </c>
      <c r="B238" t="s">
        <v>31</v>
      </c>
      <c r="C238" s="7">
        <v>45305</v>
      </c>
      <c r="D238" t="s">
        <v>15</v>
      </c>
      <c r="E238" t="s">
        <v>35</v>
      </c>
      <c r="F238">
        <v>4502</v>
      </c>
      <c r="G238">
        <v>238</v>
      </c>
      <c r="H238">
        <v>386</v>
      </c>
      <c r="I238">
        <v>39198</v>
      </c>
      <c r="J238">
        <v>25050</v>
      </c>
      <c r="K238">
        <v>297</v>
      </c>
      <c r="L238" t="s">
        <v>21</v>
      </c>
      <c r="M238" t="s">
        <v>377</v>
      </c>
      <c r="N238" t="s">
        <v>22</v>
      </c>
    </row>
    <row r="239" spans="1:14">
      <c r="A239" t="s">
        <v>278</v>
      </c>
      <c r="B239" t="s">
        <v>14</v>
      </c>
      <c r="C239" s="7">
        <v>45823</v>
      </c>
      <c r="D239" t="s">
        <v>15</v>
      </c>
      <c r="E239" t="s">
        <v>20</v>
      </c>
      <c r="F239">
        <v>2478</v>
      </c>
      <c r="G239">
        <v>427</v>
      </c>
      <c r="H239">
        <v>242</v>
      </c>
      <c r="I239">
        <v>59272</v>
      </c>
      <c r="J239">
        <v>37833</v>
      </c>
      <c r="K239">
        <v>214</v>
      </c>
      <c r="L239" t="s">
        <v>45</v>
      </c>
      <c r="M239" t="s">
        <v>42</v>
      </c>
      <c r="N239" t="s">
        <v>18</v>
      </c>
    </row>
    <row r="240" spans="1:14">
      <c r="A240" t="s">
        <v>279</v>
      </c>
      <c r="B240" t="s">
        <v>24</v>
      </c>
      <c r="C240" s="7">
        <v>45639</v>
      </c>
      <c r="D240" t="s">
        <v>25</v>
      </c>
      <c r="E240" t="s">
        <v>26</v>
      </c>
      <c r="F240">
        <v>4984</v>
      </c>
      <c r="G240">
        <v>300</v>
      </c>
      <c r="H240">
        <v>338</v>
      </c>
      <c r="I240">
        <v>32900</v>
      </c>
      <c r="J240">
        <v>31691</v>
      </c>
      <c r="K240">
        <v>160</v>
      </c>
      <c r="L240" t="s">
        <v>376</v>
      </c>
      <c r="M240" t="s">
        <v>42</v>
      </c>
      <c r="N240" t="s">
        <v>18</v>
      </c>
    </row>
    <row r="241" spans="1:14">
      <c r="A241" t="s">
        <v>280</v>
      </c>
      <c r="B241" t="s">
        <v>31</v>
      </c>
      <c r="C241" s="7">
        <v>45533</v>
      </c>
      <c r="D241" t="s">
        <v>15</v>
      </c>
      <c r="E241" t="s">
        <v>29</v>
      </c>
      <c r="F241">
        <v>4774</v>
      </c>
      <c r="G241">
        <v>389</v>
      </c>
      <c r="H241">
        <v>358</v>
      </c>
      <c r="I241">
        <v>52346</v>
      </c>
      <c r="J241">
        <v>30518</v>
      </c>
      <c r="K241">
        <v>277</v>
      </c>
      <c r="L241" t="s">
        <v>21</v>
      </c>
      <c r="M241" t="s">
        <v>377</v>
      </c>
      <c r="N241" t="s">
        <v>22</v>
      </c>
    </row>
    <row r="242" spans="1:14">
      <c r="A242" t="s">
        <v>281</v>
      </c>
      <c r="B242" t="s">
        <v>24</v>
      </c>
      <c r="C242" s="7">
        <v>45550</v>
      </c>
      <c r="D242" t="s">
        <v>15</v>
      </c>
      <c r="E242" t="s">
        <v>37</v>
      </c>
      <c r="F242">
        <v>2145</v>
      </c>
      <c r="G242">
        <v>340</v>
      </c>
      <c r="H242">
        <v>85</v>
      </c>
      <c r="I242">
        <v>53323</v>
      </c>
      <c r="J242">
        <v>49938</v>
      </c>
      <c r="K242">
        <v>104</v>
      </c>
      <c r="L242" t="s">
        <v>42</v>
      </c>
      <c r="M242" t="s">
        <v>375</v>
      </c>
      <c r="N242" t="s">
        <v>18</v>
      </c>
    </row>
    <row r="243" spans="1:14">
      <c r="A243" t="s">
        <v>282</v>
      </c>
      <c r="B243" t="s">
        <v>24</v>
      </c>
      <c r="C243" s="7">
        <v>45759</v>
      </c>
      <c r="D243" t="s">
        <v>25</v>
      </c>
      <c r="E243" t="s">
        <v>49</v>
      </c>
      <c r="F243">
        <v>4315</v>
      </c>
      <c r="G243">
        <v>208</v>
      </c>
      <c r="H243">
        <v>273</v>
      </c>
      <c r="I243">
        <v>35780</v>
      </c>
      <c r="J243">
        <v>44349</v>
      </c>
      <c r="K243">
        <v>133</v>
      </c>
      <c r="L243" t="s">
        <v>21</v>
      </c>
      <c r="M243" t="s">
        <v>376</v>
      </c>
      <c r="N243" t="s">
        <v>18</v>
      </c>
    </row>
    <row r="244" spans="1:14">
      <c r="A244" t="s">
        <v>283</v>
      </c>
      <c r="B244" t="s">
        <v>24</v>
      </c>
      <c r="C244" s="7">
        <v>45636</v>
      </c>
      <c r="D244" t="s">
        <v>25</v>
      </c>
      <c r="E244" t="s">
        <v>29</v>
      </c>
      <c r="F244">
        <v>2267</v>
      </c>
      <c r="G244">
        <v>230</v>
      </c>
      <c r="H244">
        <v>243</v>
      </c>
      <c r="I244">
        <v>27904</v>
      </c>
      <c r="J244">
        <v>69771</v>
      </c>
      <c r="K244">
        <v>255</v>
      </c>
      <c r="L244" t="s">
        <v>21</v>
      </c>
      <c r="M244" t="s">
        <v>376</v>
      </c>
      <c r="N244" t="s">
        <v>18</v>
      </c>
    </row>
    <row r="245" spans="1:14">
      <c r="A245" t="s">
        <v>284</v>
      </c>
      <c r="B245" t="s">
        <v>31</v>
      </c>
      <c r="C245" s="7">
        <v>45816</v>
      </c>
      <c r="D245" t="s">
        <v>15</v>
      </c>
      <c r="E245" t="s">
        <v>32</v>
      </c>
      <c r="F245">
        <v>4375</v>
      </c>
      <c r="G245">
        <v>303</v>
      </c>
      <c r="H245">
        <v>294</v>
      </c>
      <c r="I245">
        <v>57468</v>
      </c>
      <c r="J245">
        <v>53397</v>
      </c>
      <c r="K245">
        <v>159</v>
      </c>
      <c r="L245" t="s">
        <v>21</v>
      </c>
      <c r="M245" t="s">
        <v>377</v>
      </c>
      <c r="N245" t="s">
        <v>22</v>
      </c>
    </row>
    <row r="246" spans="1:14">
      <c r="A246" t="s">
        <v>285</v>
      </c>
      <c r="B246" t="s">
        <v>24</v>
      </c>
      <c r="C246" s="7">
        <v>45666</v>
      </c>
      <c r="D246" t="s">
        <v>25</v>
      </c>
      <c r="E246" t="s">
        <v>51</v>
      </c>
      <c r="F246">
        <v>3817</v>
      </c>
      <c r="G246">
        <v>284</v>
      </c>
      <c r="H246">
        <v>204</v>
      </c>
      <c r="I246">
        <v>46434</v>
      </c>
      <c r="J246">
        <v>53396</v>
      </c>
      <c r="K246">
        <v>104</v>
      </c>
      <c r="L246" t="s">
        <v>376</v>
      </c>
      <c r="M246" t="s">
        <v>42</v>
      </c>
      <c r="N246" t="s">
        <v>18</v>
      </c>
    </row>
    <row r="247" spans="1:14">
      <c r="A247" t="s">
        <v>286</v>
      </c>
      <c r="B247" t="s">
        <v>24</v>
      </c>
      <c r="C247" s="7">
        <v>45481</v>
      </c>
      <c r="D247" t="s">
        <v>25</v>
      </c>
      <c r="E247" t="s">
        <v>41</v>
      </c>
      <c r="F247">
        <v>2981</v>
      </c>
      <c r="G247">
        <v>258</v>
      </c>
      <c r="H247">
        <v>168</v>
      </c>
      <c r="I247">
        <v>20677</v>
      </c>
      <c r="J247">
        <v>68290</v>
      </c>
      <c r="K247">
        <v>130</v>
      </c>
      <c r="L247" t="s">
        <v>45</v>
      </c>
      <c r="M247" t="s">
        <v>42</v>
      </c>
      <c r="N247" t="s">
        <v>18</v>
      </c>
    </row>
    <row r="248" spans="1:14">
      <c r="A248" t="s">
        <v>287</v>
      </c>
      <c r="B248" t="s">
        <v>24</v>
      </c>
      <c r="C248" s="7">
        <v>45551</v>
      </c>
      <c r="D248" t="s">
        <v>25</v>
      </c>
      <c r="E248" t="s">
        <v>51</v>
      </c>
      <c r="F248">
        <v>3300</v>
      </c>
      <c r="G248">
        <v>354</v>
      </c>
      <c r="H248">
        <v>397</v>
      </c>
      <c r="I248">
        <v>56773</v>
      </c>
      <c r="J248">
        <v>72110</v>
      </c>
      <c r="K248">
        <v>163</v>
      </c>
      <c r="L248" t="s">
        <v>21</v>
      </c>
      <c r="M248" t="s">
        <v>376</v>
      </c>
      <c r="N248" t="s">
        <v>18</v>
      </c>
    </row>
    <row r="249" spans="1:14">
      <c r="A249" t="s">
        <v>288</v>
      </c>
      <c r="B249" t="s">
        <v>31</v>
      </c>
      <c r="C249" s="7">
        <v>45457</v>
      </c>
      <c r="D249" t="s">
        <v>57</v>
      </c>
      <c r="E249" t="s">
        <v>29</v>
      </c>
      <c r="F249">
        <v>4722</v>
      </c>
      <c r="G249">
        <v>310</v>
      </c>
      <c r="H249">
        <v>344</v>
      </c>
      <c r="I249">
        <v>27911</v>
      </c>
      <c r="J249">
        <v>19000</v>
      </c>
      <c r="K249">
        <v>225</v>
      </c>
      <c r="L249" t="s">
        <v>21</v>
      </c>
      <c r="M249" t="s">
        <v>45</v>
      </c>
      <c r="N249" t="s">
        <v>59</v>
      </c>
    </row>
    <row r="250" spans="1:14">
      <c r="A250" t="s">
        <v>289</v>
      </c>
      <c r="B250" t="s">
        <v>14</v>
      </c>
      <c r="C250" s="7">
        <v>45357</v>
      </c>
      <c r="D250" t="s">
        <v>15</v>
      </c>
      <c r="E250" t="s">
        <v>35</v>
      </c>
      <c r="F250">
        <v>3529</v>
      </c>
      <c r="G250">
        <v>263</v>
      </c>
      <c r="H250">
        <v>107</v>
      </c>
      <c r="I250">
        <v>26570</v>
      </c>
      <c r="J250">
        <v>19367</v>
      </c>
      <c r="K250">
        <v>96</v>
      </c>
      <c r="L250" t="s">
        <v>21</v>
      </c>
      <c r="M250" t="s">
        <v>375</v>
      </c>
      <c r="N250" t="s">
        <v>22</v>
      </c>
    </row>
    <row r="251" spans="1:14">
      <c r="A251" t="s">
        <v>290</v>
      </c>
      <c r="B251" t="s">
        <v>24</v>
      </c>
      <c r="C251" s="7">
        <v>45792</v>
      </c>
      <c r="D251" t="s">
        <v>15</v>
      </c>
      <c r="E251" t="s">
        <v>51</v>
      </c>
      <c r="F251">
        <v>4782</v>
      </c>
      <c r="G251">
        <v>210</v>
      </c>
      <c r="H251">
        <v>311</v>
      </c>
      <c r="I251">
        <v>29793</v>
      </c>
      <c r="J251">
        <v>37543</v>
      </c>
      <c r="K251">
        <v>145</v>
      </c>
      <c r="L251" t="s">
        <v>42</v>
      </c>
      <c r="M251" t="s">
        <v>375</v>
      </c>
      <c r="N251" t="s">
        <v>18</v>
      </c>
    </row>
    <row r="252" spans="1:14">
      <c r="A252" t="s">
        <v>291</v>
      </c>
      <c r="B252" t="s">
        <v>24</v>
      </c>
      <c r="C252" s="7">
        <v>45480</v>
      </c>
      <c r="D252" t="s">
        <v>15</v>
      </c>
      <c r="E252" t="s">
        <v>35</v>
      </c>
      <c r="F252">
        <v>1848</v>
      </c>
      <c r="G252">
        <v>417</v>
      </c>
      <c r="H252">
        <v>294</v>
      </c>
      <c r="I252">
        <v>57819</v>
      </c>
      <c r="J252">
        <v>19798</v>
      </c>
      <c r="K252">
        <v>262</v>
      </c>
      <c r="L252" t="s">
        <v>45</v>
      </c>
      <c r="M252" t="s">
        <v>375</v>
      </c>
      <c r="N252" t="s">
        <v>22</v>
      </c>
    </row>
    <row r="253" spans="1:14">
      <c r="A253" t="s">
        <v>292</v>
      </c>
      <c r="B253" t="s">
        <v>31</v>
      </c>
      <c r="C253" s="7">
        <v>45591</v>
      </c>
      <c r="D253" t="s">
        <v>15</v>
      </c>
      <c r="E253" t="s">
        <v>26</v>
      </c>
      <c r="F253">
        <v>4676</v>
      </c>
      <c r="G253">
        <v>211</v>
      </c>
      <c r="H253">
        <v>55</v>
      </c>
      <c r="I253">
        <v>45917</v>
      </c>
      <c r="J253">
        <v>73503</v>
      </c>
      <c r="K253">
        <v>248</v>
      </c>
      <c r="L253" t="s">
        <v>21</v>
      </c>
      <c r="M253" t="s">
        <v>377</v>
      </c>
      <c r="N253" t="s">
        <v>22</v>
      </c>
    </row>
    <row r="254" spans="1:14">
      <c r="A254" t="s">
        <v>293</v>
      </c>
      <c r="B254" t="s">
        <v>31</v>
      </c>
      <c r="C254" s="7">
        <v>45512</v>
      </c>
      <c r="D254" t="s">
        <v>15</v>
      </c>
      <c r="E254" t="s">
        <v>49</v>
      </c>
      <c r="F254">
        <v>1994</v>
      </c>
      <c r="G254">
        <v>197</v>
      </c>
      <c r="H254">
        <v>290</v>
      </c>
      <c r="I254">
        <v>49500</v>
      </c>
      <c r="J254">
        <v>23343</v>
      </c>
      <c r="K254">
        <v>160</v>
      </c>
      <c r="L254" t="s">
        <v>21</v>
      </c>
      <c r="M254" t="s">
        <v>377</v>
      </c>
      <c r="N254" t="s">
        <v>22</v>
      </c>
    </row>
    <row r="255" spans="1:14">
      <c r="A255" t="s">
        <v>294</v>
      </c>
      <c r="B255" t="s">
        <v>24</v>
      </c>
      <c r="C255" s="7">
        <v>45691</v>
      </c>
      <c r="D255" t="s">
        <v>15</v>
      </c>
      <c r="E255" t="s">
        <v>35</v>
      </c>
      <c r="F255">
        <v>4995</v>
      </c>
      <c r="G255">
        <v>231</v>
      </c>
      <c r="H255">
        <v>94</v>
      </c>
      <c r="I255">
        <v>34431</v>
      </c>
      <c r="J255">
        <v>32560</v>
      </c>
      <c r="K255">
        <v>262</v>
      </c>
      <c r="L255" t="s">
        <v>42</v>
      </c>
      <c r="M255" t="s">
        <v>375</v>
      </c>
      <c r="N255" t="s">
        <v>18</v>
      </c>
    </row>
    <row r="256" spans="1:14">
      <c r="A256" t="s">
        <v>295</v>
      </c>
      <c r="B256" t="s">
        <v>24</v>
      </c>
      <c r="C256" s="7">
        <v>45385</v>
      </c>
      <c r="D256" t="s">
        <v>25</v>
      </c>
      <c r="E256" t="s">
        <v>41</v>
      </c>
      <c r="F256">
        <v>2291</v>
      </c>
      <c r="G256">
        <v>146</v>
      </c>
      <c r="H256">
        <v>399</v>
      </c>
      <c r="I256">
        <v>49319</v>
      </c>
      <c r="J256">
        <v>28056</v>
      </c>
      <c r="K256">
        <v>90</v>
      </c>
      <c r="L256" t="s">
        <v>21</v>
      </c>
      <c r="M256" t="s">
        <v>376</v>
      </c>
      <c r="N256" t="s">
        <v>18</v>
      </c>
    </row>
    <row r="257" spans="1:14">
      <c r="A257" t="s">
        <v>296</v>
      </c>
      <c r="B257" t="s">
        <v>24</v>
      </c>
      <c r="C257" s="7">
        <v>45481</v>
      </c>
      <c r="D257" t="s">
        <v>25</v>
      </c>
      <c r="E257" t="s">
        <v>29</v>
      </c>
      <c r="F257">
        <v>2304</v>
      </c>
      <c r="G257">
        <v>289</v>
      </c>
      <c r="H257">
        <v>161</v>
      </c>
      <c r="I257">
        <v>52645</v>
      </c>
      <c r="J257">
        <v>66262</v>
      </c>
      <c r="K257">
        <v>146</v>
      </c>
      <c r="L257" t="s">
        <v>376</v>
      </c>
      <c r="M257" t="s">
        <v>42</v>
      </c>
      <c r="N257" t="s">
        <v>18</v>
      </c>
    </row>
    <row r="258" spans="1:14">
      <c r="A258" t="s">
        <v>297</v>
      </c>
      <c r="B258" t="s">
        <v>24</v>
      </c>
      <c r="C258" s="7">
        <v>45451</v>
      </c>
      <c r="D258" t="s">
        <v>25</v>
      </c>
      <c r="E258" t="s">
        <v>41</v>
      </c>
      <c r="F258">
        <v>3413</v>
      </c>
      <c r="G258">
        <v>326</v>
      </c>
      <c r="H258">
        <v>86</v>
      </c>
      <c r="I258">
        <v>44680</v>
      </c>
      <c r="J258">
        <v>52719</v>
      </c>
      <c r="K258">
        <v>272</v>
      </c>
      <c r="L258" t="s">
        <v>21</v>
      </c>
      <c r="M258" t="s">
        <v>376</v>
      </c>
      <c r="N258" t="s">
        <v>18</v>
      </c>
    </row>
    <row r="259" spans="1:14">
      <c r="A259" t="s">
        <v>298</v>
      </c>
      <c r="B259" t="s">
        <v>31</v>
      </c>
      <c r="C259" s="7">
        <v>45736</v>
      </c>
      <c r="D259" t="s">
        <v>57</v>
      </c>
      <c r="E259" t="s">
        <v>49</v>
      </c>
      <c r="F259">
        <v>1453</v>
      </c>
      <c r="G259">
        <v>156</v>
      </c>
      <c r="H259">
        <v>178</v>
      </c>
      <c r="I259">
        <v>52980</v>
      </c>
      <c r="J259">
        <v>57180</v>
      </c>
      <c r="K259">
        <v>286</v>
      </c>
      <c r="L259" t="s">
        <v>21</v>
      </c>
      <c r="M259" t="s">
        <v>45</v>
      </c>
      <c r="N259" t="s">
        <v>59</v>
      </c>
    </row>
    <row r="260" spans="1:14">
      <c r="A260" t="s">
        <v>299</v>
      </c>
      <c r="B260" t="s">
        <v>24</v>
      </c>
      <c r="C260" s="7">
        <v>45676</v>
      </c>
      <c r="D260" t="s">
        <v>25</v>
      </c>
      <c r="E260" t="s">
        <v>32</v>
      </c>
      <c r="F260">
        <v>1651</v>
      </c>
      <c r="G260">
        <v>480</v>
      </c>
      <c r="H260">
        <v>282</v>
      </c>
      <c r="I260">
        <v>32140</v>
      </c>
      <c r="J260">
        <v>70560</v>
      </c>
      <c r="K260">
        <v>138</v>
      </c>
      <c r="L260" t="s">
        <v>45</v>
      </c>
      <c r="M260" t="s">
        <v>42</v>
      </c>
      <c r="N260" t="s">
        <v>18</v>
      </c>
    </row>
    <row r="261" spans="1:14">
      <c r="A261" t="s">
        <v>300</v>
      </c>
      <c r="B261" t="s">
        <v>24</v>
      </c>
      <c r="C261" s="7">
        <v>45662</v>
      </c>
      <c r="D261" t="s">
        <v>25</v>
      </c>
      <c r="E261" t="s">
        <v>20</v>
      </c>
      <c r="F261">
        <v>3341</v>
      </c>
      <c r="G261">
        <v>154</v>
      </c>
      <c r="H261">
        <v>123</v>
      </c>
      <c r="I261">
        <v>43369</v>
      </c>
      <c r="J261">
        <v>49035</v>
      </c>
      <c r="K261">
        <v>128</v>
      </c>
      <c r="L261" t="s">
        <v>376</v>
      </c>
      <c r="M261" t="s">
        <v>42</v>
      </c>
      <c r="N261" t="s">
        <v>18</v>
      </c>
    </row>
    <row r="262" spans="1:14">
      <c r="A262" t="s">
        <v>301</v>
      </c>
      <c r="B262" t="s">
        <v>24</v>
      </c>
      <c r="C262" s="7">
        <v>45612</v>
      </c>
      <c r="D262" t="s">
        <v>15</v>
      </c>
      <c r="E262" t="s">
        <v>49</v>
      </c>
      <c r="F262">
        <v>2972</v>
      </c>
      <c r="G262">
        <v>263</v>
      </c>
      <c r="H262">
        <v>308</v>
      </c>
      <c r="I262">
        <v>51740</v>
      </c>
      <c r="J262">
        <v>28214</v>
      </c>
      <c r="K262">
        <v>190</v>
      </c>
      <c r="L262" t="s">
        <v>45</v>
      </c>
      <c r="M262" t="s">
        <v>375</v>
      </c>
      <c r="N262" t="s">
        <v>22</v>
      </c>
    </row>
    <row r="263" spans="1:14">
      <c r="A263" t="s">
        <v>302</v>
      </c>
      <c r="B263" t="s">
        <v>24</v>
      </c>
      <c r="C263" s="7">
        <v>45626</v>
      </c>
      <c r="D263" t="s">
        <v>25</v>
      </c>
      <c r="E263" t="s">
        <v>20</v>
      </c>
      <c r="F263">
        <v>4963</v>
      </c>
      <c r="G263">
        <v>255</v>
      </c>
      <c r="H263">
        <v>193</v>
      </c>
      <c r="I263">
        <v>44386</v>
      </c>
      <c r="J263">
        <v>28415</v>
      </c>
      <c r="K263">
        <v>174</v>
      </c>
      <c r="L263" t="s">
        <v>376</v>
      </c>
      <c r="M263" t="s">
        <v>42</v>
      </c>
      <c r="N263" t="s">
        <v>18</v>
      </c>
    </row>
    <row r="264" spans="1:14">
      <c r="A264" t="s">
        <v>303</v>
      </c>
      <c r="B264" t="s">
        <v>31</v>
      </c>
      <c r="C264" s="7">
        <v>45378</v>
      </c>
      <c r="D264" t="s">
        <v>15</v>
      </c>
      <c r="E264" t="s">
        <v>32</v>
      </c>
      <c r="F264">
        <v>2399</v>
      </c>
      <c r="G264">
        <v>191</v>
      </c>
      <c r="H264">
        <v>221</v>
      </c>
      <c r="I264">
        <v>51603</v>
      </c>
      <c r="J264">
        <v>40033</v>
      </c>
      <c r="K264">
        <v>173</v>
      </c>
      <c r="L264" t="s">
        <v>21</v>
      </c>
      <c r="M264" t="s">
        <v>377</v>
      </c>
      <c r="N264" t="s">
        <v>22</v>
      </c>
    </row>
    <row r="265" spans="1:14">
      <c r="A265" t="s">
        <v>304</v>
      </c>
      <c r="B265" t="s">
        <v>31</v>
      </c>
      <c r="C265" s="7">
        <v>45808</v>
      </c>
      <c r="D265" t="s">
        <v>57</v>
      </c>
      <c r="E265" t="s">
        <v>37</v>
      </c>
      <c r="F265">
        <v>2162</v>
      </c>
      <c r="G265">
        <v>318</v>
      </c>
      <c r="H265">
        <v>83</v>
      </c>
      <c r="I265">
        <v>46719</v>
      </c>
      <c r="J265">
        <v>20482</v>
      </c>
      <c r="K265">
        <v>185</v>
      </c>
      <c r="L265" t="s">
        <v>21</v>
      </c>
      <c r="M265" t="s">
        <v>45</v>
      </c>
      <c r="N265" t="s">
        <v>59</v>
      </c>
    </row>
    <row r="266" spans="1:14">
      <c r="A266" t="s">
        <v>305</v>
      </c>
      <c r="B266" t="s">
        <v>24</v>
      </c>
      <c r="C266" s="7">
        <v>45825</v>
      </c>
      <c r="D266" t="s">
        <v>25</v>
      </c>
      <c r="E266" t="s">
        <v>20</v>
      </c>
      <c r="F266">
        <v>4341</v>
      </c>
      <c r="G266">
        <v>141</v>
      </c>
      <c r="H266">
        <v>63</v>
      </c>
      <c r="I266">
        <v>50081</v>
      </c>
      <c r="J266">
        <v>27507</v>
      </c>
      <c r="K266">
        <v>221</v>
      </c>
      <c r="L266" t="s">
        <v>21</v>
      </c>
      <c r="M266" t="s">
        <v>376</v>
      </c>
      <c r="N266" t="s">
        <v>18</v>
      </c>
    </row>
    <row r="267" spans="1:14">
      <c r="A267" t="s">
        <v>306</v>
      </c>
      <c r="B267" t="s">
        <v>14</v>
      </c>
      <c r="C267" s="7">
        <v>45442</v>
      </c>
      <c r="D267" t="s">
        <v>25</v>
      </c>
      <c r="E267" t="s">
        <v>37</v>
      </c>
      <c r="F267">
        <v>2448</v>
      </c>
      <c r="G267">
        <v>464</v>
      </c>
      <c r="H267">
        <v>98</v>
      </c>
      <c r="I267">
        <v>25737</v>
      </c>
      <c r="J267">
        <v>48545</v>
      </c>
      <c r="K267">
        <v>246</v>
      </c>
      <c r="L267" t="s">
        <v>42</v>
      </c>
      <c r="M267" t="s">
        <v>375</v>
      </c>
      <c r="N267" t="s">
        <v>55</v>
      </c>
    </row>
    <row r="268" spans="1:14">
      <c r="A268" t="s">
        <v>307</v>
      </c>
      <c r="B268" t="s">
        <v>31</v>
      </c>
      <c r="C268" s="7">
        <v>45604</v>
      </c>
      <c r="D268" t="s">
        <v>15</v>
      </c>
      <c r="E268" t="s">
        <v>41</v>
      </c>
      <c r="F268">
        <v>2471</v>
      </c>
      <c r="G268">
        <v>166</v>
      </c>
      <c r="H268">
        <v>320</v>
      </c>
      <c r="I268">
        <v>48254</v>
      </c>
      <c r="J268">
        <v>46900</v>
      </c>
      <c r="K268">
        <v>111</v>
      </c>
      <c r="L268" t="s">
        <v>21</v>
      </c>
      <c r="M268" t="s">
        <v>377</v>
      </c>
      <c r="N268" t="s">
        <v>22</v>
      </c>
    </row>
    <row r="269" spans="1:14">
      <c r="A269" t="s">
        <v>308</v>
      </c>
      <c r="B269" t="s">
        <v>31</v>
      </c>
      <c r="C269" s="7">
        <v>45368</v>
      </c>
      <c r="D269" t="s">
        <v>57</v>
      </c>
      <c r="E269" t="s">
        <v>20</v>
      </c>
      <c r="F269">
        <v>2692</v>
      </c>
      <c r="G269">
        <v>446</v>
      </c>
      <c r="H269">
        <v>216</v>
      </c>
      <c r="I269">
        <v>45818</v>
      </c>
      <c r="J269">
        <v>62723</v>
      </c>
      <c r="K269">
        <v>85</v>
      </c>
      <c r="L269" t="s">
        <v>21</v>
      </c>
      <c r="M269" t="s">
        <v>45</v>
      </c>
      <c r="N269" t="s">
        <v>59</v>
      </c>
    </row>
    <row r="270" spans="1:14">
      <c r="A270" t="s">
        <v>309</v>
      </c>
      <c r="B270" t="s">
        <v>31</v>
      </c>
      <c r="C270" s="7">
        <v>45464</v>
      </c>
      <c r="D270" t="s">
        <v>57</v>
      </c>
      <c r="E270" t="s">
        <v>32</v>
      </c>
      <c r="F270">
        <v>4621</v>
      </c>
      <c r="G270">
        <v>374</v>
      </c>
      <c r="H270">
        <v>298</v>
      </c>
      <c r="I270">
        <v>56979</v>
      </c>
      <c r="J270">
        <v>24098</v>
      </c>
      <c r="K270">
        <v>205</v>
      </c>
      <c r="L270" t="s">
        <v>21</v>
      </c>
      <c r="M270" t="s">
        <v>45</v>
      </c>
      <c r="N270" t="s">
        <v>59</v>
      </c>
    </row>
    <row r="271" spans="1:14">
      <c r="A271" t="s">
        <v>310</v>
      </c>
      <c r="B271" t="s">
        <v>24</v>
      </c>
      <c r="C271" s="7">
        <v>45609</v>
      </c>
      <c r="D271" t="s">
        <v>25</v>
      </c>
      <c r="E271" t="s">
        <v>26</v>
      </c>
      <c r="F271">
        <v>1409</v>
      </c>
      <c r="G271">
        <v>466</v>
      </c>
      <c r="H271">
        <v>105</v>
      </c>
      <c r="I271">
        <v>58923</v>
      </c>
      <c r="J271">
        <v>38753</v>
      </c>
      <c r="K271">
        <v>265</v>
      </c>
      <c r="L271" t="s">
        <v>21</v>
      </c>
      <c r="M271" t="s">
        <v>376</v>
      </c>
      <c r="N271" t="s">
        <v>18</v>
      </c>
    </row>
    <row r="272" spans="1:14">
      <c r="A272" t="s">
        <v>311</v>
      </c>
      <c r="B272" t="s">
        <v>24</v>
      </c>
      <c r="C272" s="7">
        <v>45693</v>
      </c>
      <c r="D272" t="s">
        <v>25</v>
      </c>
      <c r="E272" t="s">
        <v>16</v>
      </c>
      <c r="F272">
        <v>3029</v>
      </c>
      <c r="G272">
        <v>440</v>
      </c>
      <c r="H272">
        <v>66</v>
      </c>
      <c r="I272">
        <v>23815</v>
      </c>
      <c r="J272">
        <v>47895</v>
      </c>
      <c r="K272">
        <v>210</v>
      </c>
      <c r="L272" t="s">
        <v>21</v>
      </c>
      <c r="M272" t="s">
        <v>376</v>
      </c>
      <c r="N272" t="s">
        <v>18</v>
      </c>
    </row>
    <row r="273" spans="1:14">
      <c r="A273" t="s">
        <v>312</v>
      </c>
      <c r="B273" t="s">
        <v>24</v>
      </c>
      <c r="C273" s="7">
        <v>45603</v>
      </c>
      <c r="D273" t="s">
        <v>15</v>
      </c>
      <c r="E273" t="s">
        <v>20</v>
      </c>
      <c r="F273">
        <v>2229</v>
      </c>
      <c r="G273">
        <v>395</v>
      </c>
      <c r="H273">
        <v>328</v>
      </c>
      <c r="I273">
        <v>56921</v>
      </c>
      <c r="J273">
        <v>37176</v>
      </c>
      <c r="K273">
        <v>126</v>
      </c>
      <c r="L273" t="s">
        <v>45</v>
      </c>
      <c r="M273" t="s">
        <v>375</v>
      </c>
      <c r="N273" t="s">
        <v>22</v>
      </c>
    </row>
    <row r="274" spans="1:14">
      <c r="A274" t="s">
        <v>313</v>
      </c>
      <c r="B274" t="s">
        <v>24</v>
      </c>
      <c r="C274" s="7">
        <v>45334</v>
      </c>
      <c r="D274" t="s">
        <v>15</v>
      </c>
      <c r="E274" t="s">
        <v>20</v>
      </c>
      <c r="F274">
        <v>2691</v>
      </c>
      <c r="G274">
        <v>486</v>
      </c>
      <c r="H274">
        <v>206</v>
      </c>
      <c r="I274">
        <v>51133</v>
      </c>
      <c r="J274">
        <v>44583</v>
      </c>
      <c r="K274">
        <v>276</v>
      </c>
      <c r="L274" t="s">
        <v>42</v>
      </c>
      <c r="M274" t="s">
        <v>375</v>
      </c>
      <c r="N274" t="s">
        <v>18</v>
      </c>
    </row>
    <row r="275" spans="1:14">
      <c r="A275" t="s">
        <v>314</v>
      </c>
      <c r="B275" t="s">
        <v>14</v>
      </c>
      <c r="C275" s="7">
        <v>45573</v>
      </c>
      <c r="D275" t="s">
        <v>15</v>
      </c>
      <c r="E275" t="s">
        <v>20</v>
      </c>
      <c r="F275">
        <v>2110</v>
      </c>
      <c r="G275">
        <v>384</v>
      </c>
      <c r="H275">
        <v>236</v>
      </c>
      <c r="I275">
        <v>49965</v>
      </c>
      <c r="J275">
        <v>61555</v>
      </c>
      <c r="K275">
        <v>195</v>
      </c>
      <c r="L275" t="s">
        <v>21</v>
      </c>
      <c r="M275" t="s">
        <v>375</v>
      </c>
      <c r="N275" t="s">
        <v>22</v>
      </c>
    </row>
    <row r="276" spans="1:14">
      <c r="A276" t="s">
        <v>315</v>
      </c>
      <c r="B276" t="s">
        <v>14</v>
      </c>
      <c r="C276" s="7">
        <v>45341</v>
      </c>
      <c r="D276" t="s">
        <v>15</v>
      </c>
      <c r="E276" t="s">
        <v>29</v>
      </c>
      <c r="F276">
        <v>4752</v>
      </c>
      <c r="G276">
        <v>449</v>
      </c>
      <c r="H276">
        <v>309</v>
      </c>
      <c r="I276">
        <v>58530</v>
      </c>
      <c r="J276">
        <v>26630</v>
      </c>
      <c r="K276">
        <v>234</v>
      </c>
      <c r="L276" t="s">
        <v>21</v>
      </c>
      <c r="M276" t="s">
        <v>375</v>
      </c>
      <c r="N276" t="s">
        <v>22</v>
      </c>
    </row>
    <row r="277" spans="1:14">
      <c r="A277" t="s">
        <v>316</v>
      </c>
      <c r="B277" t="s">
        <v>24</v>
      </c>
      <c r="C277" s="7">
        <v>45720</v>
      </c>
      <c r="D277" t="s">
        <v>15</v>
      </c>
      <c r="E277" t="s">
        <v>16</v>
      </c>
      <c r="F277">
        <v>2177</v>
      </c>
      <c r="G277">
        <v>258</v>
      </c>
      <c r="H277">
        <v>292</v>
      </c>
      <c r="I277">
        <v>47276</v>
      </c>
      <c r="J277">
        <v>51324</v>
      </c>
      <c r="K277">
        <v>143</v>
      </c>
      <c r="L277" t="s">
        <v>42</v>
      </c>
      <c r="M277" t="s">
        <v>375</v>
      </c>
      <c r="N277" t="s">
        <v>18</v>
      </c>
    </row>
    <row r="278" spans="1:14">
      <c r="A278" t="s">
        <v>317</v>
      </c>
      <c r="B278" t="s">
        <v>14</v>
      </c>
      <c r="C278" s="7">
        <v>45691</v>
      </c>
      <c r="D278" t="s">
        <v>25</v>
      </c>
      <c r="E278" t="s">
        <v>26</v>
      </c>
      <c r="F278">
        <v>1205</v>
      </c>
      <c r="G278">
        <v>486</v>
      </c>
      <c r="H278">
        <v>269</v>
      </c>
      <c r="I278">
        <v>23341</v>
      </c>
      <c r="J278">
        <v>42411</v>
      </c>
      <c r="K278">
        <v>184</v>
      </c>
      <c r="L278" t="s">
        <v>42</v>
      </c>
      <c r="M278" t="s">
        <v>375</v>
      </c>
      <c r="N278" t="s">
        <v>55</v>
      </c>
    </row>
    <row r="279" spans="1:14">
      <c r="A279" t="s">
        <v>318</v>
      </c>
      <c r="B279" t="s">
        <v>14</v>
      </c>
      <c r="C279" s="7">
        <v>45628</v>
      </c>
      <c r="D279" t="s">
        <v>15</v>
      </c>
      <c r="E279" t="s">
        <v>41</v>
      </c>
      <c r="F279">
        <v>3194</v>
      </c>
      <c r="G279">
        <v>292</v>
      </c>
      <c r="H279">
        <v>245</v>
      </c>
      <c r="I279">
        <v>56371</v>
      </c>
      <c r="J279">
        <v>65597</v>
      </c>
      <c r="K279">
        <v>163</v>
      </c>
      <c r="L279" t="s">
        <v>45</v>
      </c>
      <c r="M279" t="s">
        <v>42</v>
      </c>
      <c r="N279" t="s">
        <v>18</v>
      </c>
    </row>
    <row r="280" spans="1:14">
      <c r="A280" t="s">
        <v>319</v>
      </c>
      <c r="B280" t="s">
        <v>24</v>
      </c>
      <c r="C280" s="7">
        <v>45676</v>
      </c>
      <c r="D280" t="s">
        <v>25</v>
      </c>
      <c r="E280" t="s">
        <v>26</v>
      </c>
      <c r="F280">
        <v>3507</v>
      </c>
      <c r="G280">
        <v>295</v>
      </c>
      <c r="H280">
        <v>371</v>
      </c>
      <c r="I280">
        <v>20410</v>
      </c>
      <c r="J280">
        <v>53965</v>
      </c>
      <c r="K280">
        <v>212</v>
      </c>
      <c r="L280" t="s">
        <v>45</v>
      </c>
      <c r="M280" t="s">
        <v>42</v>
      </c>
      <c r="N280" t="s">
        <v>18</v>
      </c>
    </row>
    <row r="281" spans="1:14">
      <c r="A281" t="s">
        <v>320</v>
      </c>
      <c r="B281" t="s">
        <v>24</v>
      </c>
      <c r="C281" s="7">
        <v>45563</v>
      </c>
      <c r="D281" t="s">
        <v>25</v>
      </c>
      <c r="E281" t="s">
        <v>29</v>
      </c>
      <c r="F281">
        <v>4471</v>
      </c>
      <c r="G281">
        <v>317</v>
      </c>
      <c r="H281">
        <v>249</v>
      </c>
      <c r="I281">
        <v>44862</v>
      </c>
      <c r="J281">
        <v>33365</v>
      </c>
      <c r="K281">
        <v>184</v>
      </c>
      <c r="L281" t="s">
        <v>21</v>
      </c>
      <c r="M281" t="s">
        <v>376</v>
      </c>
      <c r="N281" t="s">
        <v>18</v>
      </c>
    </row>
    <row r="282" spans="1:14">
      <c r="A282" t="s">
        <v>321</v>
      </c>
      <c r="B282" t="s">
        <v>14</v>
      </c>
      <c r="C282" s="7">
        <v>45298</v>
      </c>
      <c r="D282" t="s">
        <v>15</v>
      </c>
      <c r="E282" t="s">
        <v>41</v>
      </c>
      <c r="F282">
        <v>4931</v>
      </c>
      <c r="G282">
        <v>469</v>
      </c>
      <c r="H282">
        <v>193</v>
      </c>
      <c r="I282">
        <v>56701</v>
      </c>
      <c r="J282">
        <v>69437</v>
      </c>
      <c r="K282">
        <v>291</v>
      </c>
      <c r="L282" t="s">
        <v>45</v>
      </c>
      <c r="M282" t="s">
        <v>42</v>
      </c>
      <c r="N282" t="s">
        <v>18</v>
      </c>
    </row>
    <row r="283" spans="1:14">
      <c r="A283" t="s">
        <v>322</v>
      </c>
      <c r="B283" t="s">
        <v>24</v>
      </c>
      <c r="C283" s="7">
        <v>45343</v>
      </c>
      <c r="D283" t="s">
        <v>25</v>
      </c>
      <c r="E283" t="s">
        <v>37</v>
      </c>
      <c r="F283">
        <v>2604</v>
      </c>
      <c r="G283">
        <v>439</v>
      </c>
      <c r="H283">
        <v>148</v>
      </c>
      <c r="I283">
        <v>58468</v>
      </c>
      <c r="J283">
        <v>39629</v>
      </c>
      <c r="K283">
        <v>163</v>
      </c>
      <c r="L283" t="s">
        <v>376</v>
      </c>
      <c r="M283" t="s">
        <v>42</v>
      </c>
      <c r="N283" t="s">
        <v>18</v>
      </c>
    </row>
    <row r="284" spans="1:14">
      <c r="A284" t="s">
        <v>323</v>
      </c>
      <c r="B284" t="s">
        <v>14</v>
      </c>
      <c r="C284" s="7">
        <v>45531</v>
      </c>
      <c r="D284" t="s">
        <v>15</v>
      </c>
      <c r="E284" t="s">
        <v>32</v>
      </c>
      <c r="F284">
        <v>4197</v>
      </c>
      <c r="G284">
        <v>359</v>
      </c>
      <c r="H284">
        <v>280</v>
      </c>
      <c r="I284">
        <v>56048</v>
      </c>
      <c r="J284">
        <v>70930</v>
      </c>
      <c r="K284">
        <v>295</v>
      </c>
      <c r="L284" t="s">
        <v>21</v>
      </c>
      <c r="M284" t="s">
        <v>375</v>
      </c>
      <c r="N284" t="s">
        <v>22</v>
      </c>
    </row>
    <row r="285" spans="1:14">
      <c r="A285" t="s">
        <v>324</v>
      </c>
      <c r="B285" t="s">
        <v>14</v>
      </c>
      <c r="C285" s="7">
        <v>45589</v>
      </c>
      <c r="D285" t="s">
        <v>25</v>
      </c>
      <c r="E285" t="s">
        <v>41</v>
      </c>
      <c r="F285">
        <v>1914</v>
      </c>
      <c r="G285">
        <v>255</v>
      </c>
      <c r="H285">
        <v>156</v>
      </c>
      <c r="I285">
        <v>27660</v>
      </c>
      <c r="J285">
        <v>47776</v>
      </c>
      <c r="K285">
        <v>111</v>
      </c>
      <c r="L285" t="s">
        <v>42</v>
      </c>
      <c r="M285" t="s">
        <v>375</v>
      </c>
      <c r="N285" t="s">
        <v>55</v>
      </c>
    </row>
    <row r="286" spans="1:14">
      <c r="A286" t="s">
        <v>325</v>
      </c>
      <c r="B286" t="s">
        <v>31</v>
      </c>
      <c r="C286" s="7">
        <v>45686</v>
      </c>
      <c r="D286" t="s">
        <v>15</v>
      </c>
      <c r="E286" t="s">
        <v>26</v>
      </c>
      <c r="F286">
        <v>1334</v>
      </c>
      <c r="G286">
        <v>357</v>
      </c>
      <c r="H286">
        <v>257</v>
      </c>
      <c r="I286">
        <v>56910</v>
      </c>
      <c r="J286">
        <v>70606</v>
      </c>
      <c r="K286">
        <v>228</v>
      </c>
      <c r="L286" t="s">
        <v>21</v>
      </c>
      <c r="M286" t="s">
        <v>377</v>
      </c>
      <c r="N286" t="s">
        <v>22</v>
      </c>
    </row>
    <row r="287" spans="1:14">
      <c r="A287" t="s">
        <v>326</v>
      </c>
      <c r="B287" t="s">
        <v>14</v>
      </c>
      <c r="C287" s="7">
        <v>45413</v>
      </c>
      <c r="D287" t="s">
        <v>15</v>
      </c>
      <c r="E287" t="s">
        <v>37</v>
      </c>
      <c r="F287">
        <v>3359</v>
      </c>
      <c r="G287">
        <v>137</v>
      </c>
      <c r="H287">
        <v>387</v>
      </c>
      <c r="I287">
        <v>33861</v>
      </c>
      <c r="J287">
        <v>47257</v>
      </c>
      <c r="K287">
        <v>198</v>
      </c>
      <c r="L287" t="s">
        <v>21</v>
      </c>
      <c r="M287" t="s">
        <v>375</v>
      </c>
      <c r="N287" t="s">
        <v>22</v>
      </c>
    </row>
    <row r="288" spans="1:14">
      <c r="A288" t="s">
        <v>327</v>
      </c>
      <c r="B288" t="s">
        <v>31</v>
      </c>
      <c r="C288" s="7">
        <v>45468</v>
      </c>
      <c r="D288" t="s">
        <v>15</v>
      </c>
      <c r="E288" t="s">
        <v>51</v>
      </c>
      <c r="F288">
        <v>2172</v>
      </c>
      <c r="G288">
        <v>338</v>
      </c>
      <c r="H288">
        <v>70</v>
      </c>
      <c r="I288">
        <v>30515</v>
      </c>
      <c r="J288">
        <v>57853</v>
      </c>
      <c r="K288">
        <v>156</v>
      </c>
      <c r="L288" t="s">
        <v>21</v>
      </c>
      <c r="M288" t="s">
        <v>377</v>
      </c>
      <c r="N288" t="s">
        <v>22</v>
      </c>
    </row>
    <row r="289" spans="1:14">
      <c r="A289" t="s">
        <v>328</v>
      </c>
      <c r="B289" t="s">
        <v>24</v>
      </c>
      <c r="C289" s="7">
        <v>45513</v>
      </c>
      <c r="D289" t="s">
        <v>25</v>
      </c>
      <c r="E289" t="s">
        <v>49</v>
      </c>
      <c r="F289">
        <v>4877</v>
      </c>
      <c r="G289">
        <v>442</v>
      </c>
      <c r="H289">
        <v>236</v>
      </c>
      <c r="I289">
        <v>52673</v>
      </c>
      <c r="J289">
        <v>48241</v>
      </c>
      <c r="K289">
        <v>114</v>
      </c>
      <c r="L289" t="s">
        <v>21</v>
      </c>
      <c r="M289" t="s">
        <v>376</v>
      </c>
      <c r="N289" t="s">
        <v>18</v>
      </c>
    </row>
    <row r="290" spans="1:14">
      <c r="A290" t="s">
        <v>329</v>
      </c>
      <c r="B290" t="s">
        <v>14</v>
      </c>
      <c r="C290" s="7">
        <v>45678</v>
      </c>
      <c r="D290" t="s">
        <v>25</v>
      </c>
      <c r="E290" t="s">
        <v>26</v>
      </c>
      <c r="F290">
        <v>4918</v>
      </c>
      <c r="G290">
        <v>440</v>
      </c>
      <c r="H290">
        <v>149</v>
      </c>
      <c r="I290">
        <v>53269</v>
      </c>
      <c r="J290">
        <v>64370</v>
      </c>
      <c r="K290">
        <v>269</v>
      </c>
      <c r="L290" t="s">
        <v>42</v>
      </c>
      <c r="M290" t="s">
        <v>375</v>
      </c>
      <c r="N290" t="s">
        <v>55</v>
      </c>
    </row>
    <row r="291" spans="1:14">
      <c r="A291" t="s">
        <v>330</v>
      </c>
      <c r="B291" t="s">
        <v>24</v>
      </c>
      <c r="C291" s="7">
        <v>45517</v>
      </c>
      <c r="D291" t="s">
        <v>15</v>
      </c>
      <c r="E291" t="s">
        <v>20</v>
      </c>
      <c r="F291">
        <v>3418</v>
      </c>
      <c r="G291">
        <v>107</v>
      </c>
      <c r="H291">
        <v>221</v>
      </c>
      <c r="I291">
        <v>23927</v>
      </c>
      <c r="J291">
        <v>26182</v>
      </c>
      <c r="K291">
        <v>155</v>
      </c>
      <c r="L291" t="s">
        <v>45</v>
      </c>
      <c r="M291" t="s">
        <v>375</v>
      </c>
      <c r="N291" t="s">
        <v>22</v>
      </c>
    </row>
    <row r="292" spans="1:14">
      <c r="A292" t="s">
        <v>331</v>
      </c>
      <c r="B292" t="s">
        <v>14</v>
      </c>
      <c r="C292" s="7">
        <v>45472</v>
      </c>
      <c r="D292" t="s">
        <v>15</v>
      </c>
      <c r="E292" t="s">
        <v>51</v>
      </c>
      <c r="F292">
        <v>2088</v>
      </c>
      <c r="G292">
        <v>490</v>
      </c>
      <c r="H292">
        <v>124</v>
      </c>
      <c r="I292">
        <v>46544</v>
      </c>
      <c r="J292">
        <v>69346</v>
      </c>
      <c r="K292">
        <v>178</v>
      </c>
      <c r="L292" t="s">
        <v>45</v>
      </c>
      <c r="M292" t="s">
        <v>42</v>
      </c>
      <c r="N292" t="s">
        <v>18</v>
      </c>
    </row>
    <row r="293" spans="1:14">
      <c r="A293" t="s">
        <v>332</v>
      </c>
      <c r="B293" t="s">
        <v>24</v>
      </c>
      <c r="C293" s="7">
        <v>45599</v>
      </c>
      <c r="D293" t="s">
        <v>25</v>
      </c>
      <c r="E293" t="s">
        <v>20</v>
      </c>
      <c r="F293">
        <v>3061</v>
      </c>
      <c r="G293">
        <v>320</v>
      </c>
      <c r="H293">
        <v>76</v>
      </c>
      <c r="I293">
        <v>26640</v>
      </c>
      <c r="J293">
        <v>24306</v>
      </c>
      <c r="K293">
        <v>112</v>
      </c>
      <c r="L293" t="s">
        <v>376</v>
      </c>
      <c r="M293" t="s">
        <v>42</v>
      </c>
      <c r="N293" t="s">
        <v>18</v>
      </c>
    </row>
    <row r="294" spans="1:14">
      <c r="A294" t="s">
        <v>333</v>
      </c>
      <c r="B294" t="s">
        <v>31</v>
      </c>
      <c r="C294" s="7">
        <v>45765</v>
      </c>
      <c r="D294" t="s">
        <v>57</v>
      </c>
      <c r="E294" t="s">
        <v>51</v>
      </c>
      <c r="F294">
        <v>1265</v>
      </c>
      <c r="G294">
        <v>230</v>
      </c>
      <c r="H294">
        <v>364</v>
      </c>
      <c r="I294">
        <v>41312</v>
      </c>
      <c r="J294">
        <v>50382</v>
      </c>
      <c r="K294">
        <v>106</v>
      </c>
      <c r="L294" t="s">
        <v>21</v>
      </c>
      <c r="M294" t="s">
        <v>45</v>
      </c>
      <c r="N294" t="s">
        <v>59</v>
      </c>
    </row>
    <row r="295" spans="1:14">
      <c r="A295" t="s">
        <v>334</v>
      </c>
      <c r="B295" t="s">
        <v>14</v>
      </c>
      <c r="C295" s="7">
        <v>45653</v>
      </c>
      <c r="D295" t="s">
        <v>15</v>
      </c>
      <c r="E295" t="s">
        <v>49</v>
      </c>
      <c r="F295">
        <v>1436</v>
      </c>
      <c r="G295">
        <v>219</v>
      </c>
      <c r="H295">
        <v>229</v>
      </c>
      <c r="I295">
        <v>58488</v>
      </c>
      <c r="J295">
        <v>24314</v>
      </c>
      <c r="K295">
        <v>147</v>
      </c>
      <c r="L295" t="s">
        <v>21</v>
      </c>
      <c r="M295" t="s">
        <v>375</v>
      </c>
      <c r="N295" t="s">
        <v>22</v>
      </c>
    </row>
    <row r="296" spans="1:14">
      <c r="A296" t="s">
        <v>335</v>
      </c>
      <c r="B296" t="s">
        <v>14</v>
      </c>
      <c r="C296" s="7">
        <v>45724</v>
      </c>
      <c r="D296" t="s">
        <v>25</v>
      </c>
      <c r="E296" t="s">
        <v>41</v>
      </c>
      <c r="F296">
        <v>2244</v>
      </c>
      <c r="G296">
        <v>392</v>
      </c>
      <c r="H296">
        <v>231</v>
      </c>
      <c r="I296">
        <v>25834</v>
      </c>
      <c r="J296">
        <v>50906</v>
      </c>
      <c r="K296">
        <v>165</v>
      </c>
      <c r="L296" t="s">
        <v>42</v>
      </c>
      <c r="M296" t="s">
        <v>375</v>
      </c>
      <c r="N296" t="s">
        <v>55</v>
      </c>
    </row>
    <row r="297" spans="1:14">
      <c r="A297" t="s">
        <v>336</v>
      </c>
      <c r="B297" t="s">
        <v>24</v>
      </c>
      <c r="C297" s="7">
        <v>45736</v>
      </c>
      <c r="D297" t="s">
        <v>25</v>
      </c>
      <c r="E297" t="s">
        <v>51</v>
      </c>
      <c r="F297">
        <v>3393</v>
      </c>
      <c r="G297">
        <v>104</v>
      </c>
      <c r="H297">
        <v>79</v>
      </c>
      <c r="I297">
        <v>30025</v>
      </c>
      <c r="J297">
        <v>21593</v>
      </c>
      <c r="K297">
        <v>165</v>
      </c>
      <c r="L297" t="s">
        <v>376</v>
      </c>
      <c r="M297" t="s">
        <v>42</v>
      </c>
      <c r="N297" t="s">
        <v>18</v>
      </c>
    </row>
    <row r="298" spans="1:14">
      <c r="A298" t="s">
        <v>337</v>
      </c>
      <c r="B298" t="s">
        <v>24</v>
      </c>
      <c r="C298" s="7">
        <v>45612</v>
      </c>
      <c r="D298" t="s">
        <v>15</v>
      </c>
      <c r="E298" t="s">
        <v>20</v>
      </c>
      <c r="F298">
        <v>2901</v>
      </c>
      <c r="G298">
        <v>108</v>
      </c>
      <c r="H298">
        <v>86</v>
      </c>
      <c r="I298">
        <v>51777</v>
      </c>
      <c r="J298">
        <v>23773</v>
      </c>
      <c r="K298">
        <v>160</v>
      </c>
      <c r="L298" t="s">
        <v>45</v>
      </c>
      <c r="M298" t="s">
        <v>375</v>
      </c>
      <c r="N298" t="s">
        <v>22</v>
      </c>
    </row>
    <row r="299" spans="1:14">
      <c r="A299" t="s">
        <v>338</v>
      </c>
      <c r="B299" t="s">
        <v>24</v>
      </c>
      <c r="C299" s="7">
        <v>45838</v>
      </c>
      <c r="D299" t="s">
        <v>15</v>
      </c>
      <c r="E299" t="s">
        <v>35</v>
      </c>
      <c r="F299">
        <v>2275</v>
      </c>
      <c r="G299">
        <v>285</v>
      </c>
      <c r="H299">
        <v>125</v>
      </c>
      <c r="I299">
        <v>43970</v>
      </c>
      <c r="J299">
        <v>74761</v>
      </c>
      <c r="K299">
        <v>83</v>
      </c>
      <c r="L299" t="s">
        <v>42</v>
      </c>
      <c r="M299" t="s">
        <v>375</v>
      </c>
      <c r="N299" t="s">
        <v>18</v>
      </c>
    </row>
    <row r="300" spans="1:14">
      <c r="A300" t="s">
        <v>339</v>
      </c>
      <c r="B300" t="s">
        <v>24</v>
      </c>
      <c r="C300" s="7">
        <v>45303</v>
      </c>
      <c r="D300" t="s">
        <v>25</v>
      </c>
      <c r="E300" t="s">
        <v>29</v>
      </c>
      <c r="F300">
        <v>2227</v>
      </c>
      <c r="G300">
        <v>494</v>
      </c>
      <c r="H300">
        <v>161</v>
      </c>
      <c r="I300">
        <v>51651</v>
      </c>
      <c r="J300">
        <v>68074</v>
      </c>
      <c r="K300">
        <v>240</v>
      </c>
      <c r="L300" t="s">
        <v>21</v>
      </c>
      <c r="M300" t="s">
        <v>376</v>
      </c>
      <c r="N300" t="s">
        <v>18</v>
      </c>
    </row>
    <row r="301" spans="1:14">
      <c r="A301" t="s">
        <v>340</v>
      </c>
      <c r="B301" t="s">
        <v>14</v>
      </c>
      <c r="C301" s="7">
        <v>45329</v>
      </c>
      <c r="D301" t="s">
        <v>15</v>
      </c>
      <c r="E301" t="s">
        <v>32</v>
      </c>
      <c r="F301">
        <v>1883</v>
      </c>
      <c r="G301">
        <v>432</v>
      </c>
      <c r="H301">
        <v>397</v>
      </c>
      <c r="I301">
        <v>28759</v>
      </c>
      <c r="J301">
        <v>18691</v>
      </c>
      <c r="K301">
        <v>270</v>
      </c>
      <c r="L301" t="s">
        <v>45</v>
      </c>
      <c r="M301" t="s">
        <v>42</v>
      </c>
      <c r="N30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2A015-F015-4613-AC10-298C7B5245CE}">
  <dimension ref="A1:O301"/>
  <sheetViews>
    <sheetView topLeftCell="E1" workbookViewId="0">
      <selection activeCell="L2" sqref="L2"/>
    </sheetView>
  </sheetViews>
  <sheetFormatPr defaultRowHeight="14.4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8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8.109375" style="8" bestFit="1" customWidth="1"/>
    <col min="13" max="14" width="17.21875" bestFit="1" customWidth="1"/>
    <col min="15" max="15" width="17.777343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8" t="s">
        <v>378</v>
      </c>
      <c r="M1" t="s">
        <v>373</v>
      </c>
      <c r="N1" t="s">
        <v>374</v>
      </c>
      <c r="O1" t="s">
        <v>12</v>
      </c>
    </row>
    <row r="2" spans="1:15">
      <c r="A2" t="s">
        <v>13</v>
      </c>
      <c r="B2" t="s">
        <v>14</v>
      </c>
      <c r="C2" s="7">
        <v>45781</v>
      </c>
      <c r="D2" t="s">
        <v>15</v>
      </c>
      <c r="E2" t="s">
        <v>16</v>
      </c>
      <c r="F2">
        <v>2414</v>
      </c>
      <c r="G2">
        <v>245</v>
      </c>
      <c r="H2">
        <v>137</v>
      </c>
      <c r="I2">
        <v>21181</v>
      </c>
      <c r="J2">
        <v>45292</v>
      </c>
      <c r="K2">
        <v>133</v>
      </c>
      <c r="L2" s="14">
        <v>0.13200509890939999</v>
      </c>
      <c r="M2" t="s">
        <v>45</v>
      </c>
      <c r="N2" t="s">
        <v>42</v>
      </c>
      <c r="O2" t="s">
        <v>18</v>
      </c>
    </row>
    <row r="3" spans="1:15">
      <c r="A3" t="s">
        <v>19</v>
      </c>
      <c r="B3" t="s">
        <v>14</v>
      </c>
      <c r="C3" s="7">
        <v>45689</v>
      </c>
      <c r="D3" t="s">
        <v>15</v>
      </c>
      <c r="E3" t="s">
        <v>20</v>
      </c>
      <c r="F3">
        <v>1934</v>
      </c>
      <c r="G3">
        <v>210</v>
      </c>
      <c r="H3">
        <v>393</v>
      </c>
      <c r="I3">
        <v>29129</v>
      </c>
      <c r="J3">
        <v>73287</v>
      </c>
      <c r="K3">
        <v>273</v>
      </c>
      <c r="L3" s="14">
        <v>8.7095334546328396E-2</v>
      </c>
      <c r="M3" t="s">
        <v>21</v>
      </c>
      <c r="N3" t="s">
        <v>375</v>
      </c>
      <c r="O3" t="s">
        <v>22</v>
      </c>
    </row>
    <row r="4" spans="1:15">
      <c r="A4" t="s">
        <v>23</v>
      </c>
      <c r="B4" t="s">
        <v>24</v>
      </c>
      <c r="C4" s="7">
        <v>45629</v>
      </c>
      <c r="D4" t="s">
        <v>25</v>
      </c>
      <c r="E4" t="s">
        <v>26</v>
      </c>
      <c r="F4">
        <v>3092</v>
      </c>
      <c r="G4">
        <v>177</v>
      </c>
      <c r="H4">
        <v>81</v>
      </c>
      <c r="I4">
        <v>47533</v>
      </c>
      <c r="J4">
        <v>29220</v>
      </c>
      <c r="K4">
        <v>121</v>
      </c>
      <c r="L4" s="14">
        <v>7.0477352576105004E-2</v>
      </c>
      <c r="M4" t="s">
        <v>376</v>
      </c>
      <c r="N4" t="s">
        <v>42</v>
      </c>
      <c r="O4" t="s">
        <v>18</v>
      </c>
    </row>
    <row r="5" spans="1:15">
      <c r="A5" t="s">
        <v>28</v>
      </c>
      <c r="B5" t="s">
        <v>14</v>
      </c>
      <c r="C5" s="7">
        <v>45629</v>
      </c>
      <c r="D5" t="s">
        <v>15</v>
      </c>
      <c r="E5" t="s">
        <v>29</v>
      </c>
      <c r="F5">
        <v>3173</v>
      </c>
      <c r="G5">
        <v>229</v>
      </c>
      <c r="H5">
        <v>197</v>
      </c>
      <c r="I5">
        <v>29604</v>
      </c>
      <c r="J5">
        <v>21809</v>
      </c>
      <c r="K5">
        <v>272</v>
      </c>
      <c r="L5" s="14">
        <v>0.12157140926901799</v>
      </c>
      <c r="M5" t="s">
        <v>45</v>
      </c>
      <c r="N5" t="s">
        <v>42</v>
      </c>
      <c r="O5" t="s">
        <v>18</v>
      </c>
    </row>
    <row r="6" spans="1:15">
      <c r="A6" t="s">
        <v>30</v>
      </c>
      <c r="B6" t="s">
        <v>31</v>
      </c>
      <c r="C6" s="7">
        <v>45388</v>
      </c>
      <c r="D6" t="s">
        <v>15</v>
      </c>
      <c r="E6" t="s">
        <v>32</v>
      </c>
      <c r="F6">
        <v>2748</v>
      </c>
      <c r="G6">
        <v>145</v>
      </c>
      <c r="H6">
        <v>315</v>
      </c>
      <c r="I6">
        <v>24401</v>
      </c>
      <c r="J6">
        <v>61182</v>
      </c>
      <c r="K6">
        <v>200</v>
      </c>
      <c r="L6" s="14">
        <v>0.13147002172042099</v>
      </c>
      <c r="M6" t="s">
        <v>21</v>
      </c>
      <c r="N6" t="s">
        <v>377</v>
      </c>
      <c r="O6" t="s">
        <v>22</v>
      </c>
    </row>
    <row r="7" spans="1:15">
      <c r="A7" t="s">
        <v>34</v>
      </c>
      <c r="B7" t="s">
        <v>31</v>
      </c>
      <c r="C7" s="7">
        <v>45456</v>
      </c>
      <c r="D7" t="s">
        <v>15</v>
      </c>
      <c r="E7" t="s">
        <v>35</v>
      </c>
      <c r="F7">
        <v>3882</v>
      </c>
      <c r="G7">
        <v>239</v>
      </c>
      <c r="H7">
        <v>275</v>
      </c>
      <c r="I7">
        <v>58748</v>
      </c>
      <c r="J7">
        <v>44646</v>
      </c>
      <c r="K7">
        <v>149</v>
      </c>
      <c r="L7" s="14">
        <v>7.4828079253761795E-2</v>
      </c>
      <c r="M7" t="s">
        <v>21</v>
      </c>
      <c r="N7" t="s">
        <v>377</v>
      </c>
      <c r="O7" t="s">
        <v>22</v>
      </c>
    </row>
    <row r="8" spans="1:15">
      <c r="A8" t="s">
        <v>36</v>
      </c>
      <c r="B8" t="s">
        <v>24</v>
      </c>
      <c r="C8" s="7">
        <v>45645</v>
      </c>
      <c r="D8" t="s">
        <v>25</v>
      </c>
      <c r="E8" t="s">
        <v>37</v>
      </c>
      <c r="F8">
        <v>4674</v>
      </c>
      <c r="G8">
        <v>409</v>
      </c>
      <c r="H8">
        <v>327</v>
      </c>
      <c r="I8">
        <v>20756</v>
      </c>
      <c r="J8">
        <v>63599</v>
      </c>
      <c r="K8">
        <v>212</v>
      </c>
      <c r="L8" s="14">
        <v>0.26064752360763199</v>
      </c>
      <c r="M8" t="s">
        <v>45</v>
      </c>
      <c r="N8" t="s">
        <v>42</v>
      </c>
      <c r="O8" t="s">
        <v>18</v>
      </c>
    </row>
    <row r="9" spans="1:15">
      <c r="A9" t="s">
        <v>38</v>
      </c>
      <c r="B9" t="s">
        <v>24</v>
      </c>
      <c r="C9" s="7">
        <v>45421</v>
      </c>
      <c r="D9" t="s">
        <v>25</v>
      </c>
      <c r="E9" t="s">
        <v>29</v>
      </c>
      <c r="F9">
        <v>1428</v>
      </c>
      <c r="G9">
        <v>347</v>
      </c>
      <c r="H9">
        <v>67</v>
      </c>
      <c r="I9">
        <v>21148</v>
      </c>
      <c r="J9">
        <v>19712</v>
      </c>
      <c r="K9">
        <v>120</v>
      </c>
      <c r="L9" s="14">
        <v>8.7100435029317205E-2</v>
      </c>
      <c r="M9" t="s">
        <v>21</v>
      </c>
      <c r="N9" t="s">
        <v>376</v>
      </c>
      <c r="O9" t="s">
        <v>18</v>
      </c>
    </row>
    <row r="10" spans="1:15">
      <c r="A10" t="s">
        <v>40</v>
      </c>
      <c r="B10" t="s">
        <v>24</v>
      </c>
      <c r="C10" s="7">
        <v>45823</v>
      </c>
      <c r="D10" t="s">
        <v>15</v>
      </c>
      <c r="E10" t="s">
        <v>41</v>
      </c>
      <c r="F10">
        <v>4432</v>
      </c>
      <c r="G10">
        <v>223</v>
      </c>
      <c r="H10">
        <v>299</v>
      </c>
      <c r="I10">
        <v>59016</v>
      </c>
      <c r="J10">
        <v>21742</v>
      </c>
      <c r="K10">
        <v>171</v>
      </c>
      <c r="L10" s="14">
        <v>8.3943337400027102E-2</v>
      </c>
      <c r="M10" t="s">
        <v>42</v>
      </c>
      <c r="N10" t="s">
        <v>375</v>
      </c>
      <c r="O10" t="s">
        <v>18</v>
      </c>
    </row>
    <row r="11" spans="1:15">
      <c r="A11" t="s">
        <v>43</v>
      </c>
      <c r="B11" t="s">
        <v>24</v>
      </c>
      <c r="C11" s="7">
        <v>45630</v>
      </c>
      <c r="D11" t="s">
        <v>15</v>
      </c>
      <c r="E11" t="s">
        <v>29</v>
      </c>
      <c r="F11">
        <v>2357</v>
      </c>
      <c r="G11">
        <v>274</v>
      </c>
      <c r="H11">
        <v>172</v>
      </c>
      <c r="I11">
        <v>21566</v>
      </c>
      <c r="J11">
        <v>66829</v>
      </c>
      <c r="K11">
        <v>284</v>
      </c>
      <c r="L11" s="14">
        <v>0.129973105814708</v>
      </c>
      <c r="M11" t="s">
        <v>42</v>
      </c>
      <c r="N11" t="s">
        <v>375</v>
      </c>
      <c r="O11" t="s">
        <v>18</v>
      </c>
    </row>
    <row r="12" spans="1:15">
      <c r="A12" t="s">
        <v>44</v>
      </c>
      <c r="B12" t="s">
        <v>24</v>
      </c>
      <c r="C12" s="7">
        <v>45357</v>
      </c>
      <c r="D12" t="s">
        <v>15</v>
      </c>
      <c r="E12" t="s">
        <v>16</v>
      </c>
      <c r="F12">
        <v>1971</v>
      </c>
      <c r="G12">
        <v>370</v>
      </c>
      <c r="H12">
        <v>306</v>
      </c>
      <c r="I12">
        <v>31316</v>
      </c>
      <c r="J12">
        <v>27897</v>
      </c>
      <c r="K12">
        <v>88</v>
      </c>
      <c r="L12" s="14">
        <v>8.4525482181632403E-2</v>
      </c>
      <c r="M12" t="s">
        <v>45</v>
      </c>
      <c r="N12" t="s">
        <v>375</v>
      </c>
      <c r="O12" t="s">
        <v>22</v>
      </c>
    </row>
    <row r="13" spans="1:15">
      <c r="A13" t="s">
        <v>46</v>
      </c>
      <c r="B13" t="s">
        <v>14</v>
      </c>
      <c r="C13" s="7">
        <v>45426</v>
      </c>
      <c r="D13" t="s">
        <v>15</v>
      </c>
      <c r="E13" t="s">
        <v>16</v>
      </c>
      <c r="F13">
        <v>1485</v>
      </c>
      <c r="G13">
        <v>353</v>
      </c>
      <c r="H13">
        <v>244</v>
      </c>
      <c r="I13">
        <v>38419</v>
      </c>
      <c r="J13">
        <v>38556</v>
      </c>
      <c r="K13">
        <v>86</v>
      </c>
      <c r="L13" s="14">
        <v>5.4191936281527402E-2</v>
      </c>
      <c r="M13" t="s">
        <v>45</v>
      </c>
      <c r="N13" t="s">
        <v>42</v>
      </c>
      <c r="O13" t="s">
        <v>18</v>
      </c>
    </row>
    <row r="14" spans="1:15">
      <c r="A14" t="s">
        <v>47</v>
      </c>
      <c r="B14" t="s">
        <v>24</v>
      </c>
      <c r="C14" s="7">
        <v>45826</v>
      </c>
      <c r="D14" t="s">
        <v>25</v>
      </c>
      <c r="E14" t="s">
        <v>16</v>
      </c>
      <c r="F14">
        <v>3956</v>
      </c>
      <c r="G14">
        <v>319</v>
      </c>
      <c r="H14">
        <v>61</v>
      </c>
      <c r="I14">
        <v>58162</v>
      </c>
      <c r="J14">
        <v>28720</v>
      </c>
      <c r="K14">
        <v>213</v>
      </c>
      <c r="L14" s="14">
        <v>7.4550393727863595E-2</v>
      </c>
      <c r="M14" t="s">
        <v>376</v>
      </c>
      <c r="N14" t="s">
        <v>42</v>
      </c>
      <c r="O14" t="s">
        <v>18</v>
      </c>
    </row>
    <row r="15" spans="1:15">
      <c r="A15" t="s">
        <v>48</v>
      </c>
      <c r="B15" t="s">
        <v>24</v>
      </c>
      <c r="C15" s="7">
        <v>45573</v>
      </c>
      <c r="D15" t="s">
        <v>15</v>
      </c>
      <c r="E15" t="s">
        <v>49</v>
      </c>
      <c r="F15">
        <v>2460</v>
      </c>
      <c r="G15">
        <v>409</v>
      </c>
      <c r="H15">
        <v>253</v>
      </c>
      <c r="I15">
        <v>36702</v>
      </c>
      <c r="J15">
        <v>46122</v>
      </c>
      <c r="K15">
        <v>264</v>
      </c>
      <c r="L15" s="14">
        <v>8.5063484278785906E-2</v>
      </c>
      <c r="M15" t="s">
        <v>42</v>
      </c>
      <c r="N15" t="s">
        <v>375</v>
      </c>
      <c r="O15" t="s">
        <v>18</v>
      </c>
    </row>
    <row r="16" spans="1:15">
      <c r="A16" t="s">
        <v>50</v>
      </c>
      <c r="B16" t="s">
        <v>24</v>
      </c>
      <c r="C16" s="7">
        <v>45418</v>
      </c>
      <c r="D16" t="s">
        <v>15</v>
      </c>
      <c r="E16" t="s">
        <v>51</v>
      </c>
      <c r="F16">
        <v>3476</v>
      </c>
      <c r="G16">
        <v>355</v>
      </c>
      <c r="H16">
        <v>396</v>
      </c>
      <c r="I16">
        <v>37492</v>
      </c>
      <c r="J16">
        <v>27285</v>
      </c>
      <c r="K16">
        <v>179</v>
      </c>
      <c r="L16" s="14">
        <v>0.11274405206444001</v>
      </c>
      <c r="M16" t="s">
        <v>42</v>
      </c>
      <c r="N16" t="s">
        <v>375</v>
      </c>
      <c r="O16" t="s">
        <v>18</v>
      </c>
    </row>
    <row r="17" spans="1:15">
      <c r="A17" t="s">
        <v>52</v>
      </c>
      <c r="B17" t="s">
        <v>24</v>
      </c>
      <c r="C17" s="7">
        <v>45655</v>
      </c>
      <c r="D17" t="s">
        <v>25</v>
      </c>
      <c r="E17" t="s">
        <v>26</v>
      </c>
      <c r="F17">
        <v>4049</v>
      </c>
      <c r="G17">
        <v>377</v>
      </c>
      <c r="H17">
        <v>94</v>
      </c>
      <c r="I17">
        <v>48182</v>
      </c>
      <c r="J17">
        <v>42875</v>
      </c>
      <c r="K17">
        <v>172</v>
      </c>
      <c r="L17" s="14">
        <v>9.3810966751068897E-2</v>
      </c>
      <c r="M17" t="s">
        <v>376</v>
      </c>
      <c r="N17" t="s">
        <v>42</v>
      </c>
      <c r="O17" t="s">
        <v>18</v>
      </c>
    </row>
    <row r="18" spans="1:15">
      <c r="A18" t="s">
        <v>53</v>
      </c>
      <c r="B18" t="s">
        <v>24</v>
      </c>
      <c r="C18" s="7">
        <v>45453</v>
      </c>
      <c r="D18" t="s">
        <v>15</v>
      </c>
      <c r="E18" t="s">
        <v>35</v>
      </c>
      <c r="F18">
        <v>1514</v>
      </c>
      <c r="G18">
        <v>164</v>
      </c>
      <c r="H18">
        <v>275</v>
      </c>
      <c r="I18">
        <v>41364</v>
      </c>
      <c r="J18">
        <v>44389</v>
      </c>
      <c r="K18">
        <v>83</v>
      </c>
      <c r="L18" s="14">
        <v>4.72149695387293E-2</v>
      </c>
      <c r="M18" t="s">
        <v>42</v>
      </c>
      <c r="N18" t="s">
        <v>375</v>
      </c>
      <c r="O18" t="s">
        <v>18</v>
      </c>
    </row>
    <row r="19" spans="1:15">
      <c r="A19" t="s">
        <v>54</v>
      </c>
      <c r="B19" t="s">
        <v>14</v>
      </c>
      <c r="C19" s="7">
        <v>45325</v>
      </c>
      <c r="D19" t="s">
        <v>25</v>
      </c>
      <c r="E19" t="s">
        <v>32</v>
      </c>
      <c r="F19">
        <v>4281</v>
      </c>
      <c r="G19">
        <v>101</v>
      </c>
      <c r="H19">
        <v>163</v>
      </c>
      <c r="I19">
        <v>32278</v>
      </c>
      <c r="J19">
        <v>53382</v>
      </c>
      <c r="K19">
        <v>235</v>
      </c>
      <c r="L19" s="14">
        <v>0.140807980667947</v>
      </c>
      <c r="M19" t="s">
        <v>42</v>
      </c>
      <c r="N19" t="s">
        <v>375</v>
      </c>
      <c r="O19" t="s">
        <v>55</v>
      </c>
    </row>
    <row r="20" spans="1:15">
      <c r="A20" t="s">
        <v>56</v>
      </c>
      <c r="B20" t="s">
        <v>31</v>
      </c>
      <c r="C20" s="7">
        <v>45458</v>
      </c>
      <c r="D20" t="s">
        <v>57</v>
      </c>
      <c r="E20" t="s">
        <v>37</v>
      </c>
      <c r="F20">
        <v>1751</v>
      </c>
      <c r="G20">
        <v>143</v>
      </c>
      <c r="H20">
        <v>151</v>
      </c>
      <c r="I20">
        <v>31826</v>
      </c>
      <c r="J20">
        <v>47729</v>
      </c>
      <c r="K20">
        <v>95</v>
      </c>
      <c r="L20" s="14">
        <v>6.4255640042732404E-2</v>
      </c>
      <c r="M20" t="s">
        <v>21</v>
      </c>
      <c r="N20" t="s">
        <v>45</v>
      </c>
      <c r="O20" t="s">
        <v>59</v>
      </c>
    </row>
    <row r="21" spans="1:15">
      <c r="A21" t="s">
        <v>60</v>
      </c>
      <c r="B21" t="s">
        <v>14</v>
      </c>
      <c r="C21" s="7">
        <v>45478</v>
      </c>
      <c r="D21" t="s">
        <v>15</v>
      </c>
      <c r="E21" t="s">
        <v>51</v>
      </c>
      <c r="F21">
        <v>3753</v>
      </c>
      <c r="G21">
        <v>411</v>
      </c>
      <c r="H21">
        <v>308</v>
      </c>
      <c r="I21">
        <v>29138</v>
      </c>
      <c r="J21">
        <v>27678</v>
      </c>
      <c r="K21">
        <v>90</v>
      </c>
      <c r="L21" s="14">
        <v>0.15347655981879299</v>
      </c>
      <c r="M21" t="s">
        <v>21</v>
      </c>
      <c r="N21" t="s">
        <v>375</v>
      </c>
      <c r="O21" t="s">
        <v>22</v>
      </c>
    </row>
    <row r="22" spans="1:15">
      <c r="A22" t="s">
        <v>61</v>
      </c>
      <c r="B22" t="s">
        <v>14</v>
      </c>
      <c r="C22" s="7">
        <v>45603</v>
      </c>
      <c r="D22" t="s">
        <v>25</v>
      </c>
      <c r="E22" t="s">
        <v>29</v>
      </c>
      <c r="F22">
        <v>1678</v>
      </c>
      <c r="G22">
        <v>423</v>
      </c>
      <c r="H22">
        <v>323</v>
      </c>
      <c r="I22">
        <v>55668</v>
      </c>
      <c r="J22">
        <v>37945</v>
      </c>
      <c r="K22">
        <v>230</v>
      </c>
      <c r="L22" s="14">
        <v>4.3543867212761399E-2</v>
      </c>
      <c r="M22" t="s">
        <v>42</v>
      </c>
      <c r="N22" t="s">
        <v>375</v>
      </c>
      <c r="O22" t="s">
        <v>55</v>
      </c>
    </row>
    <row r="23" spans="1:15">
      <c r="A23" t="s">
        <v>62</v>
      </c>
      <c r="B23" t="s">
        <v>14</v>
      </c>
      <c r="C23" s="7">
        <v>45823</v>
      </c>
      <c r="D23" t="s">
        <v>15</v>
      </c>
      <c r="E23" t="s">
        <v>35</v>
      </c>
      <c r="F23">
        <v>4896</v>
      </c>
      <c r="G23">
        <v>466</v>
      </c>
      <c r="H23">
        <v>233</v>
      </c>
      <c r="I23">
        <v>28621</v>
      </c>
      <c r="J23">
        <v>34270</v>
      </c>
      <c r="K23">
        <v>84</v>
      </c>
      <c r="L23" s="14">
        <v>0.19548583208133899</v>
      </c>
      <c r="M23" t="s">
        <v>45</v>
      </c>
      <c r="N23" t="s">
        <v>42</v>
      </c>
      <c r="O23" t="s">
        <v>18</v>
      </c>
    </row>
    <row r="24" spans="1:15">
      <c r="A24" t="s">
        <v>63</v>
      </c>
      <c r="B24" t="s">
        <v>31</v>
      </c>
      <c r="C24" s="7">
        <v>45452</v>
      </c>
      <c r="D24" t="s">
        <v>57</v>
      </c>
      <c r="E24" t="s">
        <v>49</v>
      </c>
      <c r="F24">
        <v>2786</v>
      </c>
      <c r="G24">
        <v>368</v>
      </c>
      <c r="H24">
        <v>208</v>
      </c>
      <c r="I24">
        <v>42000</v>
      </c>
      <c r="J24">
        <v>39967</v>
      </c>
      <c r="K24">
        <v>103</v>
      </c>
      <c r="L24" s="14">
        <v>8.0047619047619006E-2</v>
      </c>
      <c r="M24" t="s">
        <v>21</v>
      </c>
      <c r="N24" t="s">
        <v>45</v>
      </c>
      <c r="O24" t="s">
        <v>59</v>
      </c>
    </row>
    <row r="25" spans="1:15">
      <c r="A25" t="s">
        <v>64</v>
      </c>
      <c r="B25" t="s">
        <v>24</v>
      </c>
      <c r="C25" s="7">
        <v>45583</v>
      </c>
      <c r="D25" t="s">
        <v>15</v>
      </c>
      <c r="E25" t="s">
        <v>26</v>
      </c>
      <c r="F25">
        <v>2607</v>
      </c>
      <c r="G25">
        <v>379</v>
      </c>
      <c r="H25">
        <v>180</v>
      </c>
      <c r="I25">
        <v>28712</v>
      </c>
      <c r="J25">
        <v>61620</v>
      </c>
      <c r="K25">
        <v>174</v>
      </c>
      <c r="L25" s="14">
        <v>0.11026748397882399</v>
      </c>
      <c r="M25" t="s">
        <v>45</v>
      </c>
      <c r="N25" t="s">
        <v>375</v>
      </c>
      <c r="O25" t="s">
        <v>22</v>
      </c>
    </row>
    <row r="26" spans="1:15">
      <c r="A26" t="s">
        <v>65</v>
      </c>
      <c r="B26" t="s">
        <v>31</v>
      </c>
      <c r="C26" s="7">
        <v>45575</v>
      </c>
      <c r="D26" t="s">
        <v>57</v>
      </c>
      <c r="E26" t="s">
        <v>49</v>
      </c>
      <c r="F26">
        <v>4013</v>
      </c>
      <c r="G26">
        <v>320</v>
      </c>
      <c r="H26">
        <v>92</v>
      </c>
      <c r="I26">
        <v>54605</v>
      </c>
      <c r="J26">
        <v>60169</v>
      </c>
      <c r="K26">
        <v>232</v>
      </c>
      <c r="L26" s="14">
        <v>8.1036535115831906E-2</v>
      </c>
      <c r="M26" t="s">
        <v>21</v>
      </c>
      <c r="N26" t="s">
        <v>45</v>
      </c>
      <c r="O26" t="s">
        <v>59</v>
      </c>
    </row>
    <row r="27" spans="1:15">
      <c r="A27" t="s">
        <v>66</v>
      </c>
      <c r="B27" t="s">
        <v>24</v>
      </c>
      <c r="C27" s="7">
        <v>45791</v>
      </c>
      <c r="D27" t="s">
        <v>25</v>
      </c>
      <c r="E27" t="s">
        <v>49</v>
      </c>
      <c r="F27">
        <v>2707</v>
      </c>
      <c r="G27">
        <v>103</v>
      </c>
      <c r="H27">
        <v>51</v>
      </c>
      <c r="I27">
        <v>55302</v>
      </c>
      <c r="J27">
        <v>18801</v>
      </c>
      <c r="K27">
        <v>147</v>
      </c>
      <c r="L27" s="14">
        <v>5.1734114498571501E-2</v>
      </c>
      <c r="M27" t="s">
        <v>21</v>
      </c>
      <c r="N27" t="s">
        <v>376</v>
      </c>
      <c r="O27" t="s">
        <v>18</v>
      </c>
    </row>
    <row r="28" spans="1:15">
      <c r="A28" t="s">
        <v>67</v>
      </c>
      <c r="B28" t="s">
        <v>14</v>
      </c>
      <c r="C28" s="7">
        <v>45625</v>
      </c>
      <c r="D28" t="s">
        <v>15</v>
      </c>
      <c r="E28" t="s">
        <v>35</v>
      </c>
      <c r="F28">
        <v>2824</v>
      </c>
      <c r="G28">
        <v>425</v>
      </c>
      <c r="H28">
        <v>274</v>
      </c>
      <c r="I28">
        <v>31004</v>
      </c>
      <c r="J28">
        <v>53488</v>
      </c>
      <c r="K28">
        <v>268</v>
      </c>
      <c r="L28" s="14">
        <v>0.11363049929041399</v>
      </c>
      <c r="M28" t="s">
        <v>45</v>
      </c>
      <c r="N28" t="s">
        <v>42</v>
      </c>
      <c r="O28" t="s">
        <v>18</v>
      </c>
    </row>
    <row r="29" spans="1:15">
      <c r="A29" t="s">
        <v>68</v>
      </c>
      <c r="B29" t="s">
        <v>31</v>
      </c>
      <c r="C29" s="7">
        <v>45356</v>
      </c>
      <c r="D29" t="s">
        <v>57</v>
      </c>
      <c r="E29" t="s">
        <v>20</v>
      </c>
      <c r="F29">
        <v>3558</v>
      </c>
      <c r="G29">
        <v>314</v>
      </c>
      <c r="H29">
        <v>199</v>
      </c>
      <c r="I29">
        <v>49612</v>
      </c>
      <c r="J29">
        <v>53929</v>
      </c>
      <c r="K29">
        <v>206</v>
      </c>
      <c r="L29" s="14">
        <v>8.2056760461178699E-2</v>
      </c>
      <c r="M29" t="s">
        <v>21</v>
      </c>
      <c r="N29" t="s">
        <v>45</v>
      </c>
      <c r="O29" t="s">
        <v>59</v>
      </c>
    </row>
    <row r="30" spans="1:15">
      <c r="A30" t="s">
        <v>69</v>
      </c>
      <c r="B30" t="s">
        <v>24</v>
      </c>
      <c r="C30" s="7">
        <v>45734</v>
      </c>
      <c r="D30" t="s">
        <v>25</v>
      </c>
      <c r="E30" t="s">
        <v>20</v>
      </c>
      <c r="F30">
        <v>3418</v>
      </c>
      <c r="G30">
        <v>188</v>
      </c>
      <c r="H30">
        <v>387</v>
      </c>
      <c r="I30">
        <v>57431</v>
      </c>
      <c r="J30">
        <v>36933</v>
      </c>
      <c r="K30">
        <v>202</v>
      </c>
      <c r="L30" s="14">
        <v>6.9526910553533799E-2</v>
      </c>
      <c r="M30" t="s">
        <v>376</v>
      </c>
      <c r="N30" t="s">
        <v>42</v>
      </c>
      <c r="O30" t="s">
        <v>18</v>
      </c>
    </row>
    <row r="31" spans="1:15">
      <c r="A31" t="s">
        <v>70</v>
      </c>
      <c r="B31" t="s">
        <v>24</v>
      </c>
      <c r="C31" s="7">
        <v>45773</v>
      </c>
      <c r="D31" t="s">
        <v>15</v>
      </c>
      <c r="E31" t="s">
        <v>16</v>
      </c>
      <c r="F31">
        <v>2411</v>
      </c>
      <c r="G31">
        <v>194</v>
      </c>
      <c r="H31">
        <v>168</v>
      </c>
      <c r="I31">
        <v>26665</v>
      </c>
      <c r="J31">
        <v>71699</v>
      </c>
      <c r="K31">
        <v>197</v>
      </c>
      <c r="L31" s="14">
        <v>0.103993999624977</v>
      </c>
      <c r="M31" t="s">
        <v>42</v>
      </c>
      <c r="N31" t="s">
        <v>375</v>
      </c>
      <c r="O31" t="s">
        <v>18</v>
      </c>
    </row>
    <row r="32" spans="1:15">
      <c r="A32" t="s">
        <v>71</v>
      </c>
      <c r="B32" t="s">
        <v>14</v>
      </c>
      <c r="C32" s="7">
        <v>45658</v>
      </c>
      <c r="D32" t="s">
        <v>15</v>
      </c>
      <c r="E32" t="s">
        <v>26</v>
      </c>
      <c r="F32">
        <v>4036</v>
      </c>
      <c r="G32">
        <v>112</v>
      </c>
      <c r="H32">
        <v>382</v>
      </c>
      <c r="I32">
        <v>56284</v>
      </c>
      <c r="J32">
        <v>29440</v>
      </c>
      <c r="K32">
        <v>279</v>
      </c>
      <c r="L32" s="14">
        <v>8.0484684812735394E-2</v>
      </c>
      <c r="M32" t="s">
        <v>45</v>
      </c>
      <c r="N32" t="s">
        <v>42</v>
      </c>
      <c r="O32" t="s">
        <v>18</v>
      </c>
    </row>
    <row r="33" spans="1:15">
      <c r="A33" t="s">
        <v>72</v>
      </c>
      <c r="B33" t="s">
        <v>24</v>
      </c>
      <c r="C33" s="7">
        <v>45419</v>
      </c>
      <c r="D33" t="s">
        <v>25</v>
      </c>
      <c r="E33" t="s">
        <v>20</v>
      </c>
      <c r="F33">
        <v>2776</v>
      </c>
      <c r="G33">
        <v>307</v>
      </c>
      <c r="H33">
        <v>178</v>
      </c>
      <c r="I33">
        <v>43365</v>
      </c>
      <c r="J33">
        <v>48408</v>
      </c>
      <c r="K33">
        <v>138</v>
      </c>
      <c r="L33" s="14">
        <v>7.5198893116568605E-2</v>
      </c>
      <c r="M33" t="s">
        <v>45</v>
      </c>
      <c r="N33" t="s">
        <v>42</v>
      </c>
      <c r="O33" t="s">
        <v>18</v>
      </c>
    </row>
    <row r="34" spans="1:15">
      <c r="A34" t="s">
        <v>73</v>
      </c>
      <c r="B34" t="s">
        <v>24</v>
      </c>
      <c r="C34" s="7">
        <v>45574</v>
      </c>
      <c r="D34" t="s">
        <v>25</v>
      </c>
      <c r="E34" t="s">
        <v>16</v>
      </c>
      <c r="F34">
        <v>4929</v>
      </c>
      <c r="G34">
        <v>182</v>
      </c>
      <c r="H34">
        <v>95</v>
      </c>
      <c r="I34">
        <v>32181</v>
      </c>
      <c r="J34">
        <v>31084</v>
      </c>
      <c r="K34">
        <v>289</v>
      </c>
      <c r="L34" s="14">
        <v>0.16177247444144099</v>
      </c>
      <c r="M34" t="s">
        <v>21</v>
      </c>
      <c r="N34" t="s">
        <v>376</v>
      </c>
      <c r="O34" t="s">
        <v>18</v>
      </c>
    </row>
    <row r="35" spans="1:15">
      <c r="A35" t="s">
        <v>74</v>
      </c>
      <c r="B35" t="s">
        <v>14</v>
      </c>
      <c r="C35" s="7">
        <v>45666</v>
      </c>
      <c r="D35" t="s">
        <v>15</v>
      </c>
      <c r="E35" t="s">
        <v>26</v>
      </c>
      <c r="F35">
        <v>1015</v>
      </c>
      <c r="G35">
        <v>366</v>
      </c>
      <c r="H35">
        <v>308</v>
      </c>
      <c r="I35">
        <v>38127</v>
      </c>
      <c r="J35">
        <v>63790</v>
      </c>
      <c r="K35">
        <v>287</v>
      </c>
      <c r="L35" s="14">
        <v>4.4299315445747098E-2</v>
      </c>
      <c r="M35" t="s">
        <v>45</v>
      </c>
      <c r="N35" t="s">
        <v>42</v>
      </c>
      <c r="O35" t="s">
        <v>18</v>
      </c>
    </row>
    <row r="36" spans="1:15">
      <c r="A36" t="s">
        <v>75</v>
      </c>
      <c r="B36" t="s">
        <v>24</v>
      </c>
      <c r="C36" s="7">
        <v>45785</v>
      </c>
      <c r="D36" t="s">
        <v>25</v>
      </c>
      <c r="E36" t="s">
        <v>51</v>
      </c>
      <c r="F36">
        <v>3316</v>
      </c>
      <c r="G36">
        <v>332</v>
      </c>
      <c r="H36">
        <v>268</v>
      </c>
      <c r="I36">
        <v>40095</v>
      </c>
      <c r="J36">
        <v>36913</v>
      </c>
      <c r="K36">
        <v>265</v>
      </c>
      <c r="L36" s="14">
        <v>9.7668038408779106E-2</v>
      </c>
      <c r="M36" t="s">
        <v>376</v>
      </c>
      <c r="N36" t="s">
        <v>42</v>
      </c>
      <c r="O36" t="s">
        <v>18</v>
      </c>
    </row>
    <row r="37" spans="1:15">
      <c r="A37" t="s">
        <v>76</v>
      </c>
      <c r="B37" t="s">
        <v>14</v>
      </c>
      <c r="C37" s="7">
        <v>45416</v>
      </c>
      <c r="D37" t="s">
        <v>15</v>
      </c>
      <c r="E37" t="s">
        <v>29</v>
      </c>
      <c r="F37">
        <v>2274</v>
      </c>
      <c r="G37">
        <v>243</v>
      </c>
      <c r="H37">
        <v>222</v>
      </c>
      <c r="I37">
        <v>43066</v>
      </c>
      <c r="J37">
        <v>59174</v>
      </c>
      <c r="K37">
        <v>80</v>
      </c>
      <c r="L37" s="14">
        <v>6.3600055728416802E-2</v>
      </c>
      <c r="M37" t="s">
        <v>21</v>
      </c>
      <c r="N37" t="s">
        <v>375</v>
      </c>
      <c r="O37" t="s">
        <v>22</v>
      </c>
    </row>
    <row r="38" spans="1:15">
      <c r="A38" t="s">
        <v>77</v>
      </c>
      <c r="B38" t="s">
        <v>24</v>
      </c>
      <c r="C38" s="7">
        <v>45804</v>
      </c>
      <c r="D38" t="s">
        <v>25</v>
      </c>
      <c r="E38" t="s">
        <v>20</v>
      </c>
      <c r="F38">
        <v>4095</v>
      </c>
      <c r="G38">
        <v>385</v>
      </c>
      <c r="H38">
        <v>400</v>
      </c>
      <c r="I38">
        <v>45300</v>
      </c>
      <c r="J38">
        <v>31795</v>
      </c>
      <c r="K38">
        <v>80</v>
      </c>
      <c r="L38" s="14">
        <v>0.107726269315673</v>
      </c>
      <c r="M38" t="s">
        <v>376</v>
      </c>
      <c r="N38" t="s">
        <v>42</v>
      </c>
      <c r="O38" t="s">
        <v>18</v>
      </c>
    </row>
    <row r="39" spans="1:15">
      <c r="A39" t="s">
        <v>78</v>
      </c>
      <c r="B39" t="s">
        <v>14</v>
      </c>
      <c r="C39" s="7">
        <v>45545</v>
      </c>
      <c r="D39" t="s">
        <v>25</v>
      </c>
      <c r="E39" t="s">
        <v>26</v>
      </c>
      <c r="F39">
        <v>1230</v>
      </c>
      <c r="G39">
        <v>309</v>
      </c>
      <c r="H39">
        <v>207</v>
      </c>
      <c r="I39">
        <v>44629</v>
      </c>
      <c r="J39">
        <v>40699</v>
      </c>
      <c r="K39">
        <v>195</v>
      </c>
      <c r="L39" s="14">
        <v>3.9122543637545103E-2</v>
      </c>
      <c r="M39" t="s">
        <v>42</v>
      </c>
      <c r="N39" t="s">
        <v>375</v>
      </c>
      <c r="O39" t="s">
        <v>55</v>
      </c>
    </row>
    <row r="40" spans="1:15">
      <c r="A40" t="s">
        <v>79</v>
      </c>
      <c r="B40" t="s">
        <v>14</v>
      </c>
      <c r="C40" s="7">
        <v>45621</v>
      </c>
      <c r="D40" t="s">
        <v>15</v>
      </c>
      <c r="E40" t="s">
        <v>49</v>
      </c>
      <c r="F40">
        <v>1341</v>
      </c>
      <c r="G40">
        <v>472</v>
      </c>
      <c r="H40">
        <v>238</v>
      </c>
      <c r="I40">
        <v>51386</v>
      </c>
      <c r="J40">
        <v>51706</v>
      </c>
      <c r="K40">
        <v>133</v>
      </c>
      <c r="L40" s="14">
        <v>3.9913595142645898E-2</v>
      </c>
      <c r="M40" t="s">
        <v>21</v>
      </c>
      <c r="N40" t="s">
        <v>375</v>
      </c>
      <c r="O40" t="s">
        <v>22</v>
      </c>
    </row>
    <row r="41" spans="1:15">
      <c r="A41" t="s">
        <v>80</v>
      </c>
      <c r="B41" t="s">
        <v>24</v>
      </c>
      <c r="C41" s="7">
        <v>45818</v>
      </c>
      <c r="D41" t="s">
        <v>15</v>
      </c>
      <c r="E41" t="s">
        <v>20</v>
      </c>
      <c r="F41">
        <v>3615</v>
      </c>
      <c r="G41">
        <v>192</v>
      </c>
      <c r="H41">
        <v>162</v>
      </c>
      <c r="I41">
        <v>27492</v>
      </c>
      <c r="J41">
        <v>35341</v>
      </c>
      <c r="K41">
        <v>125</v>
      </c>
      <c r="L41" s="14">
        <v>0.14436927106067199</v>
      </c>
      <c r="M41" t="s">
        <v>42</v>
      </c>
      <c r="N41" t="s">
        <v>375</v>
      </c>
      <c r="O41" t="s">
        <v>18</v>
      </c>
    </row>
    <row r="42" spans="1:15">
      <c r="A42" t="s">
        <v>81</v>
      </c>
      <c r="B42" t="s">
        <v>14</v>
      </c>
      <c r="C42" s="7">
        <v>45401</v>
      </c>
      <c r="D42" t="s">
        <v>15</v>
      </c>
      <c r="E42" t="s">
        <v>26</v>
      </c>
      <c r="F42">
        <v>4001</v>
      </c>
      <c r="G42">
        <v>353</v>
      </c>
      <c r="H42">
        <v>129</v>
      </c>
      <c r="I42">
        <v>41265</v>
      </c>
      <c r="J42">
        <v>37279</v>
      </c>
      <c r="K42">
        <v>275</v>
      </c>
      <c r="L42" s="14">
        <v>0.10863928268508399</v>
      </c>
      <c r="M42" t="s">
        <v>45</v>
      </c>
      <c r="N42" t="s">
        <v>42</v>
      </c>
      <c r="O42" t="s">
        <v>18</v>
      </c>
    </row>
    <row r="43" spans="1:15">
      <c r="A43" t="s">
        <v>82</v>
      </c>
      <c r="B43" t="s">
        <v>14</v>
      </c>
      <c r="C43" s="7">
        <v>45683</v>
      </c>
      <c r="D43" t="s">
        <v>25</v>
      </c>
      <c r="E43" t="s">
        <v>35</v>
      </c>
      <c r="F43">
        <v>3451</v>
      </c>
      <c r="G43">
        <v>363</v>
      </c>
      <c r="H43">
        <v>393</v>
      </c>
      <c r="I43">
        <v>44853</v>
      </c>
      <c r="J43">
        <v>69032</v>
      </c>
      <c r="K43">
        <v>211</v>
      </c>
      <c r="L43" s="14">
        <v>9.3795286825853405E-2</v>
      </c>
      <c r="M43" t="s">
        <v>42</v>
      </c>
      <c r="N43" t="s">
        <v>375</v>
      </c>
      <c r="O43" t="s">
        <v>55</v>
      </c>
    </row>
    <row r="44" spans="1:15">
      <c r="A44" t="s">
        <v>83</v>
      </c>
      <c r="B44" t="s">
        <v>14</v>
      </c>
      <c r="C44" s="7">
        <v>45702</v>
      </c>
      <c r="D44" t="s">
        <v>15</v>
      </c>
      <c r="E44" t="s">
        <v>41</v>
      </c>
      <c r="F44">
        <v>4891</v>
      </c>
      <c r="G44">
        <v>450</v>
      </c>
      <c r="H44">
        <v>387</v>
      </c>
      <c r="I44">
        <v>48746</v>
      </c>
      <c r="J44">
        <v>37312</v>
      </c>
      <c r="K44">
        <v>154</v>
      </c>
      <c r="L44" s="14">
        <v>0.11750707750379499</v>
      </c>
      <c r="M44" t="s">
        <v>45</v>
      </c>
      <c r="N44" t="s">
        <v>42</v>
      </c>
      <c r="O44" t="s">
        <v>18</v>
      </c>
    </row>
    <row r="45" spans="1:15">
      <c r="A45" t="s">
        <v>84</v>
      </c>
      <c r="B45" t="s">
        <v>14</v>
      </c>
      <c r="C45" s="7">
        <v>45541</v>
      </c>
      <c r="D45" t="s">
        <v>15</v>
      </c>
      <c r="E45" t="s">
        <v>26</v>
      </c>
      <c r="F45">
        <v>1452</v>
      </c>
      <c r="G45">
        <v>281</v>
      </c>
      <c r="H45">
        <v>326</v>
      </c>
      <c r="I45">
        <v>51556</v>
      </c>
      <c r="J45">
        <v>62599</v>
      </c>
      <c r="K45">
        <v>290</v>
      </c>
      <c r="L45" s="14">
        <v>3.9937155714174902E-2</v>
      </c>
      <c r="M45" t="s">
        <v>21</v>
      </c>
      <c r="N45" t="s">
        <v>375</v>
      </c>
      <c r="O45" t="s">
        <v>22</v>
      </c>
    </row>
    <row r="46" spans="1:15">
      <c r="A46" t="s">
        <v>85</v>
      </c>
      <c r="B46" t="s">
        <v>31</v>
      </c>
      <c r="C46" s="7">
        <v>45487</v>
      </c>
      <c r="D46" t="s">
        <v>15</v>
      </c>
      <c r="E46" t="s">
        <v>51</v>
      </c>
      <c r="F46">
        <v>3806</v>
      </c>
      <c r="G46">
        <v>114</v>
      </c>
      <c r="H46">
        <v>278</v>
      </c>
      <c r="I46">
        <v>36148</v>
      </c>
      <c r="J46">
        <v>24209</v>
      </c>
      <c r="K46">
        <v>201</v>
      </c>
      <c r="L46" s="14">
        <v>0.116133672678986</v>
      </c>
      <c r="M46" t="s">
        <v>21</v>
      </c>
      <c r="N46" t="s">
        <v>377</v>
      </c>
      <c r="O46" t="s">
        <v>22</v>
      </c>
    </row>
    <row r="47" spans="1:15">
      <c r="A47" t="s">
        <v>86</v>
      </c>
      <c r="B47" t="s">
        <v>14</v>
      </c>
      <c r="C47" s="7">
        <v>45334</v>
      </c>
      <c r="D47" t="s">
        <v>15</v>
      </c>
      <c r="E47" t="s">
        <v>20</v>
      </c>
      <c r="F47">
        <v>2923</v>
      </c>
      <c r="G47">
        <v>330</v>
      </c>
      <c r="H47">
        <v>250</v>
      </c>
      <c r="I47">
        <v>23993</v>
      </c>
      <c r="J47">
        <v>74590</v>
      </c>
      <c r="K47">
        <v>92</v>
      </c>
      <c r="L47" s="14">
        <v>0.146000916934106</v>
      </c>
      <c r="M47" t="s">
        <v>21</v>
      </c>
      <c r="N47" t="s">
        <v>375</v>
      </c>
      <c r="O47" t="s">
        <v>22</v>
      </c>
    </row>
    <row r="48" spans="1:15">
      <c r="A48" t="s">
        <v>87</v>
      </c>
      <c r="B48" t="s">
        <v>31</v>
      </c>
      <c r="C48" s="7">
        <v>45365</v>
      </c>
      <c r="D48" t="s">
        <v>57</v>
      </c>
      <c r="E48" t="s">
        <v>49</v>
      </c>
      <c r="F48">
        <v>3361</v>
      </c>
      <c r="G48">
        <v>188</v>
      </c>
      <c r="H48">
        <v>358</v>
      </c>
      <c r="I48">
        <v>39838</v>
      </c>
      <c r="J48">
        <v>24536</v>
      </c>
      <c r="K48">
        <v>120</v>
      </c>
      <c r="L48" s="14">
        <v>9.8072192379135503E-2</v>
      </c>
      <c r="M48" t="s">
        <v>21</v>
      </c>
      <c r="N48" t="s">
        <v>45</v>
      </c>
      <c r="O48" t="s">
        <v>59</v>
      </c>
    </row>
    <row r="49" spans="1:15">
      <c r="A49" t="s">
        <v>88</v>
      </c>
      <c r="B49" t="s">
        <v>14</v>
      </c>
      <c r="C49" s="7">
        <v>45693</v>
      </c>
      <c r="D49" t="s">
        <v>25</v>
      </c>
      <c r="E49" t="s">
        <v>32</v>
      </c>
      <c r="F49">
        <v>3074</v>
      </c>
      <c r="G49">
        <v>371</v>
      </c>
      <c r="H49">
        <v>348</v>
      </c>
      <c r="I49">
        <v>24104</v>
      </c>
      <c r="J49">
        <v>57803</v>
      </c>
      <c r="K49">
        <v>213</v>
      </c>
      <c r="L49" s="14">
        <v>0.15735977431131801</v>
      </c>
      <c r="M49" t="s">
        <v>42</v>
      </c>
      <c r="N49" t="s">
        <v>375</v>
      </c>
      <c r="O49" t="s">
        <v>55</v>
      </c>
    </row>
    <row r="50" spans="1:15">
      <c r="A50" t="s">
        <v>89</v>
      </c>
      <c r="B50" t="s">
        <v>24</v>
      </c>
      <c r="C50" s="7">
        <v>45533</v>
      </c>
      <c r="D50" t="s">
        <v>25</v>
      </c>
      <c r="E50" t="s">
        <v>37</v>
      </c>
      <c r="F50">
        <v>4276</v>
      </c>
      <c r="G50">
        <v>227</v>
      </c>
      <c r="H50">
        <v>223</v>
      </c>
      <c r="I50">
        <v>43443</v>
      </c>
      <c r="J50">
        <v>41005</v>
      </c>
      <c r="K50">
        <v>191</v>
      </c>
      <c r="L50" s="14">
        <v>0.108786225628985</v>
      </c>
      <c r="M50" t="s">
        <v>21</v>
      </c>
      <c r="N50" t="s">
        <v>376</v>
      </c>
      <c r="O50" t="s">
        <v>18</v>
      </c>
    </row>
    <row r="51" spans="1:15">
      <c r="A51" t="s">
        <v>90</v>
      </c>
      <c r="B51" t="s">
        <v>24</v>
      </c>
      <c r="C51" s="7">
        <v>45769</v>
      </c>
      <c r="D51" t="s">
        <v>15</v>
      </c>
      <c r="E51" t="s">
        <v>16</v>
      </c>
      <c r="F51">
        <v>4401</v>
      </c>
      <c r="G51">
        <v>421</v>
      </c>
      <c r="H51">
        <v>216</v>
      </c>
      <c r="I51">
        <v>24890</v>
      </c>
      <c r="J51">
        <v>54361</v>
      </c>
      <c r="K51">
        <v>148</v>
      </c>
      <c r="L51" s="14">
        <v>0.20241060666934499</v>
      </c>
      <c r="M51" t="s">
        <v>42</v>
      </c>
      <c r="N51" t="s">
        <v>375</v>
      </c>
      <c r="O51" t="s">
        <v>18</v>
      </c>
    </row>
    <row r="52" spans="1:15">
      <c r="A52" t="s">
        <v>91</v>
      </c>
      <c r="B52" t="s">
        <v>31</v>
      </c>
      <c r="C52" s="7">
        <v>45425</v>
      </c>
      <c r="D52" t="s">
        <v>57</v>
      </c>
      <c r="E52" t="s">
        <v>20</v>
      </c>
      <c r="F52">
        <v>4161</v>
      </c>
      <c r="G52">
        <v>481</v>
      </c>
      <c r="H52">
        <v>61</v>
      </c>
      <c r="I52">
        <v>45884</v>
      </c>
      <c r="J52">
        <v>48955</v>
      </c>
      <c r="K52">
        <v>215</v>
      </c>
      <c r="L52" s="14">
        <v>0.102497602650161</v>
      </c>
      <c r="M52" t="s">
        <v>21</v>
      </c>
      <c r="N52" t="s">
        <v>45</v>
      </c>
      <c r="O52" t="s">
        <v>59</v>
      </c>
    </row>
    <row r="53" spans="1:15">
      <c r="A53" t="s">
        <v>92</v>
      </c>
      <c r="B53" t="s">
        <v>24</v>
      </c>
      <c r="C53" s="7">
        <v>45539</v>
      </c>
      <c r="D53" t="s">
        <v>25</v>
      </c>
      <c r="E53" t="s">
        <v>26</v>
      </c>
      <c r="F53">
        <v>2613</v>
      </c>
      <c r="G53">
        <v>455</v>
      </c>
      <c r="H53">
        <v>228</v>
      </c>
      <c r="I53">
        <v>21645</v>
      </c>
      <c r="J53">
        <v>61334</v>
      </c>
      <c r="K53">
        <v>261</v>
      </c>
      <c r="L53" s="14">
        <v>0.15227535227535199</v>
      </c>
      <c r="M53" t="s">
        <v>21</v>
      </c>
      <c r="N53" t="s">
        <v>376</v>
      </c>
      <c r="O53" t="s">
        <v>18</v>
      </c>
    </row>
    <row r="54" spans="1:15">
      <c r="A54" t="s">
        <v>93</v>
      </c>
      <c r="B54" t="s">
        <v>24</v>
      </c>
      <c r="C54" s="7">
        <v>45516</v>
      </c>
      <c r="D54" t="s">
        <v>25</v>
      </c>
      <c r="E54" t="s">
        <v>35</v>
      </c>
      <c r="F54">
        <v>2842</v>
      </c>
      <c r="G54">
        <v>213</v>
      </c>
      <c r="H54">
        <v>331</v>
      </c>
      <c r="I54">
        <v>57660</v>
      </c>
      <c r="J54">
        <v>68606</v>
      </c>
      <c r="K54">
        <v>87</v>
      </c>
      <c r="L54" s="14">
        <v>5.8723551855705901E-2</v>
      </c>
      <c r="M54" t="s">
        <v>376</v>
      </c>
      <c r="N54" t="s">
        <v>42</v>
      </c>
      <c r="O54" t="s">
        <v>18</v>
      </c>
    </row>
    <row r="55" spans="1:15">
      <c r="A55" t="s">
        <v>94</v>
      </c>
      <c r="B55" t="s">
        <v>14</v>
      </c>
      <c r="C55" s="7">
        <v>45722</v>
      </c>
      <c r="D55" t="s">
        <v>15</v>
      </c>
      <c r="E55" t="s">
        <v>37</v>
      </c>
      <c r="F55">
        <v>4851</v>
      </c>
      <c r="G55">
        <v>460</v>
      </c>
      <c r="H55">
        <v>212</v>
      </c>
      <c r="I55">
        <v>58075</v>
      </c>
      <c r="J55">
        <v>59574</v>
      </c>
      <c r="K55">
        <v>239</v>
      </c>
      <c r="L55" s="14">
        <v>9.5101162290141997E-2</v>
      </c>
      <c r="M55" t="s">
        <v>21</v>
      </c>
      <c r="N55" t="s">
        <v>375</v>
      </c>
      <c r="O55" t="s">
        <v>22</v>
      </c>
    </row>
    <row r="56" spans="1:15">
      <c r="A56" t="s">
        <v>95</v>
      </c>
      <c r="B56" t="s">
        <v>24</v>
      </c>
      <c r="C56" s="7">
        <v>45420</v>
      </c>
      <c r="D56" t="s">
        <v>15</v>
      </c>
      <c r="E56" t="s">
        <v>20</v>
      </c>
      <c r="F56">
        <v>1828</v>
      </c>
      <c r="G56">
        <v>450</v>
      </c>
      <c r="H56">
        <v>214</v>
      </c>
      <c r="I56">
        <v>52115</v>
      </c>
      <c r="J56">
        <v>19166</v>
      </c>
      <c r="K56">
        <v>190</v>
      </c>
      <c r="L56" s="14">
        <v>4.7817327065144397E-2</v>
      </c>
      <c r="M56" t="s">
        <v>42</v>
      </c>
      <c r="N56" t="s">
        <v>375</v>
      </c>
      <c r="O56" t="s">
        <v>18</v>
      </c>
    </row>
    <row r="57" spans="1:15">
      <c r="A57" t="s">
        <v>96</v>
      </c>
      <c r="B57" t="s">
        <v>14</v>
      </c>
      <c r="C57" s="7">
        <v>45707</v>
      </c>
      <c r="D57" t="s">
        <v>25</v>
      </c>
      <c r="E57" t="s">
        <v>49</v>
      </c>
      <c r="F57">
        <v>2422</v>
      </c>
      <c r="G57">
        <v>455</v>
      </c>
      <c r="H57">
        <v>376</v>
      </c>
      <c r="I57">
        <v>23428</v>
      </c>
      <c r="J57">
        <v>46775</v>
      </c>
      <c r="K57">
        <v>259</v>
      </c>
      <c r="L57" s="14">
        <v>0.138850947584087</v>
      </c>
      <c r="M57" t="s">
        <v>42</v>
      </c>
      <c r="N57" t="s">
        <v>375</v>
      </c>
      <c r="O57" t="s">
        <v>55</v>
      </c>
    </row>
    <row r="58" spans="1:15">
      <c r="A58" t="s">
        <v>97</v>
      </c>
      <c r="B58" t="s">
        <v>14</v>
      </c>
      <c r="C58" s="7">
        <v>45299</v>
      </c>
      <c r="D58" t="s">
        <v>15</v>
      </c>
      <c r="E58" t="s">
        <v>41</v>
      </c>
      <c r="F58">
        <v>2683</v>
      </c>
      <c r="G58">
        <v>405</v>
      </c>
      <c r="H58">
        <v>223</v>
      </c>
      <c r="I58">
        <v>31233</v>
      </c>
      <c r="J58">
        <v>58106</v>
      </c>
      <c r="K58">
        <v>291</v>
      </c>
      <c r="L58" s="14">
        <v>0.106009669260077</v>
      </c>
      <c r="M58" t="s">
        <v>21</v>
      </c>
      <c r="N58" t="s">
        <v>375</v>
      </c>
      <c r="O58" t="s">
        <v>22</v>
      </c>
    </row>
    <row r="59" spans="1:15">
      <c r="A59" t="s">
        <v>98</v>
      </c>
      <c r="B59" t="s">
        <v>31</v>
      </c>
      <c r="C59" s="7">
        <v>45490</v>
      </c>
      <c r="D59" t="s">
        <v>15</v>
      </c>
      <c r="E59" t="s">
        <v>41</v>
      </c>
      <c r="F59">
        <v>3135</v>
      </c>
      <c r="G59">
        <v>110</v>
      </c>
      <c r="H59">
        <v>215</v>
      </c>
      <c r="I59">
        <v>39192</v>
      </c>
      <c r="J59">
        <v>24744</v>
      </c>
      <c r="K59">
        <v>177</v>
      </c>
      <c r="L59" s="14">
        <v>8.82833231271688E-2</v>
      </c>
      <c r="M59" t="s">
        <v>21</v>
      </c>
      <c r="N59" t="s">
        <v>377</v>
      </c>
      <c r="O59" t="s">
        <v>22</v>
      </c>
    </row>
    <row r="60" spans="1:15">
      <c r="A60" t="s">
        <v>99</v>
      </c>
      <c r="B60" t="s">
        <v>31</v>
      </c>
      <c r="C60" s="7">
        <v>45514</v>
      </c>
      <c r="D60" t="s">
        <v>15</v>
      </c>
      <c r="E60" t="s">
        <v>49</v>
      </c>
      <c r="F60">
        <v>1105</v>
      </c>
      <c r="G60">
        <v>181</v>
      </c>
      <c r="H60">
        <v>55</v>
      </c>
      <c r="I60">
        <v>53581</v>
      </c>
      <c r="J60">
        <v>74048</v>
      </c>
      <c r="K60">
        <v>220</v>
      </c>
      <c r="L60" s="14">
        <v>2.50275284149232E-2</v>
      </c>
      <c r="M60" t="s">
        <v>21</v>
      </c>
      <c r="N60" t="s">
        <v>377</v>
      </c>
      <c r="O60" t="s">
        <v>22</v>
      </c>
    </row>
    <row r="61" spans="1:15">
      <c r="A61" t="s">
        <v>100</v>
      </c>
      <c r="B61" t="s">
        <v>31</v>
      </c>
      <c r="C61" s="7">
        <v>45398</v>
      </c>
      <c r="D61" t="s">
        <v>15</v>
      </c>
      <c r="E61" t="s">
        <v>16</v>
      </c>
      <c r="F61">
        <v>4674</v>
      </c>
      <c r="G61">
        <v>326</v>
      </c>
      <c r="H61">
        <v>62</v>
      </c>
      <c r="I61">
        <v>45503</v>
      </c>
      <c r="J61">
        <v>46814</v>
      </c>
      <c r="K61">
        <v>116</v>
      </c>
      <c r="L61" s="14">
        <v>0.111245412390392</v>
      </c>
      <c r="M61" t="s">
        <v>21</v>
      </c>
      <c r="N61" t="s">
        <v>377</v>
      </c>
      <c r="O61" t="s">
        <v>22</v>
      </c>
    </row>
    <row r="62" spans="1:15">
      <c r="A62" t="s">
        <v>101</v>
      </c>
      <c r="B62" t="s">
        <v>31</v>
      </c>
      <c r="C62" s="7">
        <v>45292</v>
      </c>
      <c r="D62" t="s">
        <v>57</v>
      </c>
      <c r="E62" t="s">
        <v>20</v>
      </c>
      <c r="F62">
        <v>3437</v>
      </c>
      <c r="G62">
        <v>129</v>
      </c>
      <c r="H62">
        <v>359</v>
      </c>
      <c r="I62">
        <v>44558</v>
      </c>
      <c r="J62">
        <v>30854</v>
      </c>
      <c r="K62">
        <v>171</v>
      </c>
      <c r="L62" s="14">
        <v>8.8087436599488297E-2</v>
      </c>
      <c r="M62" t="s">
        <v>21</v>
      </c>
      <c r="N62" t="s">
        <v>45</v>
      </c>
      <c r="O62" t="s">
        <v>59</v>
      </c>
    </row>
    <row r="63" spans="1:15">
      <c r="A63" t="s">
        <v>102</v>
      </c>
      <c r="B63" t="s">
        <v>24</v>
      </c>
      <c r="C63" s="7">
        <v>45599</v>
      </c>
      <c r="D63" t="s">
        <v>25</v>
      </c>
      <c r="E63" t="s">
        <v>29</v>
      </c>
      <c r="F63">
        <v>1959</v>
      </c>
      <c r="G63">
        <v>316</v>
      </c>
      <c r="H63">
        <v>82</v>
      </c>
      <c r="I63">
        <v>54036</v>
      </c>
      <c r="J63">
        <v>69015</v>
      </c>
      <c r="K63">
        <v>182</v>
      </c>
      <c r="L63" s="14">
        <v>4.3619068768968802E-2</v>
      </c>
      <c r="M63" t="s">
        <v>376</v>
      </c>
      <c r="N63" t="s">
        <v>42</v>
      </c>
      <c r="O63" t="s">
        <v>18</v>
      </c>
    </row>
    <row r="64" spans="1:15">
      <c r="A64" t="s">
        <v>103</v>
      </c>
      <c r="B64" t="s">
        <v>24</v>
      </c>
      <c r="C64" s="7">
        <v>45480</v>
      </c>
      <c r="D64" t="s">
        <v>15</v>
      </c>
      <c r="E64" t="s">
        <v>26</v>
      </c>
      <c r="F64">
        <v>1035</v>
      </c>
      <c r="G64">
        <v>137</v>
      </c>
      <c r="H64">
        <v>184</v>
      </c>
      <c r="I64">
        <v>37302</v>
      </c>
      <c r="J64">
        <v>68953</v>
      </c>
      <c r="K64">
        <v>237</v>
      </c>
      <c r="L64" s="14">
        <v>3.6351938233874899E-2</v>
      </c>
      <c r="M64" t="s">
        <v>45</v>
      </c>
      <c r="N64" t="s">
        <v>375</v>
      </c>
      <c r="O64" t="s">
        <v>22</v>
      </c>
    </row>
    <row r="65" spans="1:15">
      <c r="A65" t="s">
        <v>104</v>
      </c>
      <c r="B65" t="s">
        <v>24</v>
      </c>
      <c r="C65" s="7">
        <v>45679</v>
      </c>
      <c r="D65" t="s">
        <v>25</v>
      </c>
      <c r="E65" t="s">
        <v>26</v>
      </c>
      <c r="F65">
        <v>4478</v>
      </c>
      <c r="G65">
        <v>101</v>
      </c>
      <c r="H65">
        <v>121</v>
      </c>
      <c r="I65">
        <v>51035</v>
      </c>
      <c r="J65">
        <v>58207</v>
      </c>
      <c r="K65">
        <v>205</v>
      </c>
      <c r="L65" s="14">
        <v>9.2093661212893099E-2</v>
      </c>
      <c r="M65" t="s">
        <v>376</v>
      </c>
      <c r="N65" t="s">
        <v>42</v>
      </c>
      <c r="O65" t="s">
        <v>18</v>
      </c>
    </row>
    <row r="66" spans="1:15">
      <c r="A66" t="s">
        <v>105</v>
      </c>
      <c r="B66" t="s">
        <v>31</v>
      </c>
      <c r="C66" s="7">
        <v>45438</v>
      </c>
      <c r="D66" t="s">
        <v>15</v>
      </c>
      <c r="E66" t="s">
        <v>49</v>
      </c>
      <c r="F66">
        <v>1488</v>
      </c>
      <c r="G66">
        <v>327</v>
      </c>
      <c r="H66">
        <v>110</v>
      </c>
      <c r="I66">
        <v>53805</v>
      </c>
      <c r="J66">
        <v>30239</v>
      </c>
      <c r="K66">
        <v>109</v>
      </c>
      <c r="L66" s="14">
        <v>3.5777344113000598E-2</v>
      </c>
      <c r="M66" t="s">
        <v>21</v>
      </c>
      <c r="N66" t="s">
        <v>377</v>
      </c>
      <c r="O66" t="s">
        <v>22</v>
      </c>
    </row>
    <row r="67" spans="1:15">
      <c r="A67" t="s">
        <v>106</v>
      </c>
      <c r="B67" t="s">
        <v>14</v>
      </c>
      <c r="C67" s="7">
        <v>45763</v>
      </c>
      <c r="D67" t="s">
        <v>15</v>
      </c>
      <c r="E67" t="s">
        <v>29</v>
      </c>
      <c r="F67">
        <v>4836</v>
      </c>
      <c r="G67">
        <v>331</v>
      </c>
      <c r="H67">
        <v>140</v>
      </c>
      <c r="I67">
        <v>58792</v>
      </c>
      <c r="J67">
        <v>47711</v>
      </c>
      <c r="K67">
        <v>227</v>
      </c>
      <c r="L67" s="14">
        <v>9.0267383317458205E-2</v>
      </c>
      <c r="M67" t="s">
        <v>45</v>
      </c>
      <c r="N67" t="s">
        <v>42</v>
      </c>
      <c r="O67" t="s">
        <v>18</v>
      </c>
    </row>
    <row r="68" spans="1:15">
      <c r="A68" t="s">
        <v>107</v>
      </c>
      <c r="B68" t="s">
        <v>31</v>
      </c>
      <c r="C68" s="7">
        <v>45384</v>
      </c>
      <c r="D68" t="s">
        <v>57</v>
      </c>
      <c r="E68" t="s">
        <v>51</v>
      </c>
      <c r="F68">
        <v>4563</v>
      </c>
      <c r="G68">
        <v>488</v>
      </c>
      <c r="H68">
        <v>356</v>
      </c>
      <c r="I68">
        <v>30619</v>
      </c>
      <c r="J68">
        <v>23328</v>
      </c>
      <c r="K68">
        <v>267</v>
      </c>
      <c r="L68" s="14">
        <v>0.17658969920637499</v>
      </c>
      <c r="M68" t="s">
        <v>21</v>
      </c>
      <c r="N68" t="s">
        <v>45</v>
      </c>
      <c r="O68" t="s">
        <v>59</v>
      </c>
    </row>
    <row r="69" spans="1:15">
      <c r="A69" t="s">
        <v>108</v>
      </c>
      <c r="B69" t="s">
        <v>24</v>
      </c>
      <c r="C69" s="7">
        <v>45379</v>
      </c>
      <c r="D69" t="s">
        <v>15</v>
      </c>
      <c r="E69" t="s">
        <v>32</v>
      </c>
      <c r="F69">
        <v>3276</v>
      </c>
      <c r="G69">
        <v>421</v>
      </c>
      <c r="H69">
        <v>114</v>
      </c>
      <c r="I69">
        <v>20580</v>
      </c>
      <c r="J69">
        <v>30324</v>
      </c>
      <c r="K69">
        <v>221</v>
      </c>
      <c r="L69" s="14">
        <v>0.18517978620019401</v>
      </c>
      <c r="M69" t="s">
        <v>45</v>
      </c>
      <c r="N69" t="s">
        <v>375</v>
      </c>
      <c r="O69" t="s">
        <v>22</v>
      </c>
    </row>
    <row r="70" spans="1:15">
      <c r="A70" t="s">
        <v>109</v>
      </c>
      <c r="B70" t="s">
        <v>24</v>
      </c>
      <c r="C70" s="7">
        <v>45643</v>
      </c>
      <c r="D70" t="s">
        <v>25</v>
      </c>
      <c r="E70" t="s">
        <v>32</v>
      </c>
      <c r="F70">
        <v>1316</v>
      </c>
      <c r="G70">
        <v>472</v>
      </c>
      <c r="H70">
        <v>286</v>
      </c>
      <c r="I70">
        <v>44692</v>
      </c>
      <c r="J70">
        <v>53343</v>
      </c>
      <c r="K70">
        <v>227</v>
      </c>
      <c r="L70" s="14">
        <v>4.6406515707509199E-2</v>
      </c>
      <c r="M70" t="s">
        <v>21</v>
      </c>
      <c r="N70" t="s">
        <v>376</v>
      </c>
      <c r="O70" t="s">
        <v>18</v>
      </c>
    </row>
    <row r="71" spans="1:15">
      <c r="A71" t="s">
        <v>110</v>
      </c>
      <c r="B71" t="s">
        <v>24</v>
      </c>
      <c r="C71" s="7">
        <v>45662</v>
      </c>
      <c r="D71" t="s">
        <v>15</v>
      </c>
      <c r="E71" t="s">
        <v>29</v>
      </c>
      <c r="F71">
        <v>4811</v>
      </c>
      <c r="G71">
        <v>473</v>
      </c>
      <c r="H71">
        <v>254</v>
      </c>
      <c r="I71">
        <v>51964</v>
      </c>
      <c r="J71">
        <v>68795</v>
      </c>
      <c r="K71">
        <v>107</v>
      </c>
      <c r="L71" s="14">
        <v>0.106573781848972</v>
      </c>
      <c r="M71" t="s">
        <v>42</v>
      </c>
      <c r="N71" t="s">
        <v>375</v>
      </c>
      <c r="O71" t="s">
        <v>18</v>
      </c>
    </row>
    <row r="72" spans="1:15">
      <c r="A72" t="s">
        <v>111</v>
      </c>
      <c r="B72" t="s">
        <v>24</v>
      </c>
      <c r="C72" s="7">
        <v>45302</v>
      </c>
      <c r="D72" t="s">
        <v>15</v>
      </c>
      <c r="E72" t="s">
        <v>35</v>
      </c>
      <c r="F72">
        <v>4218</v>
      </c>
      <c r="G72">
        <v>247</v>
      </c>
      <c r="H72">
        <v>183</v>
      </c>
      <c r="I72">
        <v>28914</v>
      </c>
      <c r="J72">
        <v>18310</v>
      </c>
      <c r="K72">
        <v>135</v>
      </c>
      <c r="L72" s="14">
        <v>0.16075257660648801</v>
      </c>
      <c r="M72" t="s">
        <v>45</v>
      </c>
      <c r="N72" t="s">
        <v>375</v>
      </c>
      <c r="O72" t="s">
        <v>22</v>
      </c>
    </row>
    <row r="73" spans="1:15">
      <c r="A73" t="s">
        <v>112</v>
      </c>
      <c r="B73" t="s">
        <v>14</v>
      </c>
      <c r="C73" s="7">
        <v>45576</v>
      </c>
      <c r="D73" t="s">
        <v>15</v>
      </c>
      <c r="E73" t="s">
        <v>49</v>
      </c>
      <c r="F73">
        <v>1360</v>
      </c>
      <c r="G73">
        <v>249</v>
      </c>
      <c r="H73">
        <v>52</v>
      </c>
      <c r="I73">
        <v>20368</v>
      </c>
      <c r="J73">
        <v>42152</v>
      </c>
      <c r="K73">
        <v>193</v>
      </c>
      <c r="L73" s="14">
        <v>8.1549489395129598E-2</v>
      </c>
      <c r="M73" t="s">
        <v>21</v>
      </c>
      <c r="N73" t="s">
        <v>375</v>
      </c>
      <c r="O73" t="s">
        <v>22</v>
      </c>
    </row>
    <row r="74" spans="1:15">
      <c r="A74" t="s">
        <v>113</v>
      </c>
      <c r="B74" t="s">
        <v>31</v>
      </c>
      <c r="C74" s="7">
        <v>45783</v>
      </c>
      <c r="D74" t="s">
        <v>57</v>
      </c>
      <c r="E74" t="s">
        <v>16</v>
      </c>
      <c r="F74">
        <v>1085</v>
      </c>
      <c r="G74">
        <v>496</v>
      </c>
      <c r="H74">
        <v>320</v>
      </c>
      <c r="I74">
        <v>36528</v>
      </c>
      <c r="J74">
        <v>38599</v>
      </c>
      <c r="K74">
        <v>270</v>
      </c>
      <c r="L74" s="14">
        <v>5.2042268944371403E-2</v>
      </c>
      <c r="M74" t="s">
        <v>21</v>
      </c>
      <c r="N74" t="s">
        <v>45</v>
      </c>
      <c r="O74" t="s">
        <v>59</v>
      </c>
    </row>
    <row r="75" spans="1:15">
      <c r="A75" t="s">
        <v>114</v>
      </c>
      <c r="B75" t="s">
        <v>24</v>
      </c>
      <c r="C75" s="7">
        <v>45431</v>
      </c>
      <c r="D75" t="s">
        <v>25</v>
      </c>
      <c r="E75" t="s">
        <v>37</v>
      </c>
      <c r="F75">
        <v>1763</v>
      </c>
      <c r="G75">
        <v>206</v>
      </c>
      <c r="H75">
        <v>187</v>
      </c>
      <c r="I75">
        <v>53342</v>
      </c>
      <c r="J75">
        <v>25095</v>
      </c>
      <c r="K75">
        <v>88</v>
      </c>
      <c r="L75" s="14">
        <v>4.04184320047992E-2</v>
      </c>
      <c r="M75" t="s">
        <v>21</v>
      </c>
      <c r="N75" t="s">
        <v>376</v>
      </c>
      <c r="O75" t="s">
        <v>18</v>
      </c>
    </row>
    <row r="76" spans="1:15">
      <c r="A76" t="s">
        <v>115</v>
      </c>
      <c r="B76" t="s">
        <v>24</v>
      </c>
      <c r="C76" s="7">
        <v>45313</v>
      </c>
      <c r="D76" t="s">
        <v>25</v>
      </c>
      <c r="E76" t="s">
        <v>49</v>
      </c>
      <c r="F76">
        <v>1554</v>
      </c>
      <c r="G76">
        <v>455</v>
      </c>
      <c r="H76">
        <v>158</v>
      </c>
      <c r="I76">
        <v>41947</v>
      </c>
      <c r="J76">
        <v>48578</v>
      </c>
      <c r="K76">
        <v>101</v>
      </c>
      <c r="L76" s="14">
        <v>5.1660428636136103E-2</v>
      </c>
      <c r="M76" t="s">
        <v>45</v>
      </c>
      <c r="N76" t="s">
        <v>42</v>
      </c>
      <c r="O76" t="s">
        <v>18</v>
      </c>
    </row>
    <row r="77" spans="1:15">
      <c r="A77" t="s">
        <v>116</v>
      </c>
      <c r="B77" t="s">
        <v>14</v>
      </c>
      <c r="C77" s="7">
        <v>45487</v>
      </c>
      <c r="D77" t="s">
        <v>15</v>
      </c>
      <c r="E77" t="s">
        <v>29</v>
      </c>
      <c r="F77">
        <v>2464</v>
      </c>
      <c r="G77">
        <v>401</v>
      </c>
      <c r="H77">
        <v>78</v>
      </c>
      <c r="I77">
        <v>38665</v>
      </c>
      <c r="J77">
        <v>73593</v>
      </c>
      <c r="K77">
        <v>207</v>
      </c>
      <c r="L77" s="14">
        <v>7.6115349799560306E-2</v>
      </c>
      <c r="M77" t="s">
        <v>21</v>
      </c>
      <c r="N77" t="s">
        <v>375</v>
      </c>
      <c r="O77" t="s">
        <v>22</v>
      </c>
    </row>
    <row r="78" spans="1:15">
      <c r="A78" t="s">
        <v>117</v>
      </c>
      <c r="B78" t="s">
        <v>24</v>
      </c>
      <c r="C78" s="7">
        <v>45805</v>
      </c>
      <c r="D78" t="s">
        <v>15</v>
      </c>
      <c r="E78" t="s">
        <v>49</v>
      </c>
      <c r="F78">
        <v>2418</v>
      </c>
      <c r="G78">
        <v>161</v>
      </c>
      <c r="H78">
        <v>360</v>
      </c>
      <c r="I78">
        <v>30589</v>
      </c>
      <c r="J78">
        <v>41383</v>
      </c>
      <c r="K78">
        <v>88</v>
      </c>
      <c r="L78" s="14">
        <v>9.6080290300434801E-2</v>
      </c>
      <c r="M78" t="s">
        <v>42</v>
      </c>
      <c r="N78" t="s">
        <v>375</v>
      </c>
      <c r="O78" t="s">
        <v>18</v>
      </c>
    </row>
    <row r="79" spans="1:15">
      <c r="A79" t="s">
        <v>118</v>
      </c>
      <c r="B79" t="s">
        <v>24</v>
      </c>
      <c r="C79" s="7">
        <v>45678</v>
      </c>
      <c r="D79" t="s">
        <v>25</v>
      </c>
      <c r="E79" t="s">
        <v>16</v>
      </c>
      <c r="F79">
        <v>2494</v>
      </c>
      <c r="G79">
        <v>494</v>
      </c>
      <c r="H79">
        <v>55</v>
      </c>
      <c r="I79">
        <v>22580</v>
      </c>
      <c r="J79">
        <v>22214</v>
      </c>
      <c r="K79">
        <v>109</v>
      </c>
      <c r="L79" s="14">
        <v>0.134765279007972</v>
      </c>
      <c r="M79" t="s">
        <v>376</v>
      </c>
      <c r="N79" t="s">
        <v>42</v>
      </c>
      <c r="O79" t="s">
        <v>18</v>
      </c>
    </row>
    <row r="80" spans="1:15">
      <c r="A80" t="s">
        <v>119</v>
      </c>
      <c r="B80" t="s">
        <v>31</v>
      </c>
      <c r="C80" s="7">
        <v>45304</v>
      </c>
      <c r="D80" t="s">
        <v>57</v>
      </c>
      <c r="E80" t="s">
        <v>26</v>
      </c>
      <c r="F80">
        <v>4781</v>
      </c>
      <c r="G80">
        <v>191</v>
      </c>
      <c r="H80">
        <v>122</v>
      </c>
      <c r="I80">
        <v>35535</v>
      </c>
      <c r="J80">
        <v>50777</v>
      </c>
      <c r="K80">
        <v>128</v>
      </c>
      <c r="L80" s="14">
        <v>0.143351625158295</v>
      </c>
      <c r="M80" t="s">
        <v>21</v>
      </c>
      <c r="N80" t="s">
        <v>45</v>
      </c>
      <c r="O80" t="s">
        <v>59</v>
      </c>
    </row>
    <row r="81" spans="1:15">
      <c r="A81" t="s">
        <v>120</v>
      </c>
      <c r="B81" t="s">
        <v>14</v>
      </c>
      <c r="C81" s="7">
        <v>45825</v>
      </c>
      <c r="D81" t="s">
        <v>15</v>
      </c>
      <c r="E81" t="s">
        <v>32</v>
      </c>
      <c r="F81">
        <v>2284</v>
      </c>
      <c r="G81">
        <v>187</v>
      </c>
      <c r="H81">
        <v>260</v>
      </c>
      <c r="I81">
        <v>37400</v>
      </c>
      <c r="J81">
        <v>65014</v>
      </c>
      <c r="K81">
        <v>157</v>
      </c>
      <c r="L81" s="14">
        <v>7.3021390374331599E-2</v>
      </c>
      <c r="M81" t="s">
        <v>45</v>
      </c>
      <c r="N81" t="s">
        <v>42</v>
      </c>
      <c r="O81" t="s">
        <v>18</v>
      </c>
    </row>
    <row r="82" spans="1:15">
      <c r="A82" t="s">
        <v>121</v>
      </c>
      <c r="B82" t="s">
        <v>24</v>
      </c>
      <c r="C82" s="7">
        <v>45723</v>
      </c>
      <c r="D82" t="s">
        <v>15</v>
      </c>
      <c r="E82" t="s">
        <v>37</v>
      </c>
      <c r="F82">
        <v>4234</v>
      </c>
      <c r="G82">
        <v>486</v>
      </c>
      <c r="H82">
        <v>276</v>
      </c>
      <c r="I82">
        <v>56623</v>
      </c>
      <c r="J82">
        <v>41343</v>
      </c>
      <c r="K82">
        <v>184</v>
      </c>
      <c r="L82" s="14">
        <v>8.8232696960599002E-2</v>
      </c>
      <c r="M82" t="s">
        <v>45</v>
      </c>
      <c r="N82" t="s">
        <v>375</v>
      </c>
      <c r="O82" t="s">
        <v>22</v>
      </c>
    </row>
    <row r="83" spans="1:15">
      <c r="A83" t="s">
        <v>122</v>
      </c>
      <c r="B83" t="s">
        <v>14</v>
      </c>
      <c r="C83" s="7">
        <v>45530</v>
      </c>
      <c r="D83" t="s">
        <v>15</v>
      </c>
      <c r="E83" t="s">
        <v>51</v>
      </c>
      <c r="F83">
        <v>2102</v>
      </c>
      <c r="G83">
        <v>181</v>
      </c>
      <c r="H83">
        <v>306</v>
      </c>
      <c r="I83">
        <v>43650</v>
      </c>
      <c r="J83">
        <v>50079</v>
      </c>
      <c r="K83">
        <v>182</v>
      </c>
      <c r="L83" s="14">
        <v>5.9312714776632303E-2</v>
      </c>
      <c r="M83" t="s">
        <v>21</v>
      </c>
      <c r="N83" t="s">
        <v>375</v>
      </c>
      <c r="O83" t="s">
        <v>22</v>
      </c>
    </row>
    <row r="84" spans="1:15">
      <c r="A84" t="s">
        <v>123</v>
      </c>
      <c r="B84" t="s">
        <v>24</v>
      </c>
      <c r="C84" s="7">
        <v>45660</v>
      </c>
      <c r="D84" t="s">
        <v>25</v>
      </c>
      <c r="E84" t="s">
        <v>37</v>
      </c>
      <c r="F84">
        <v>4845</v>
      </c>
      <c r="G84">
        <v>158</v>
      </c>
      <c r="H84">
        <v>84</v>
      </c>
      <c r="I84">
        <v>34578</v>
      </c>
      <c r="J84">
        <v>51480</v>
      </c>
      <c r="K84">
        <v>180</v>
      </c>
      <c r="L84" s="14">
        <v>0.14711666377465399</v>
      </c>
      <c r="M84" t="s">
        <v>45</v>
      </c>
      <c r="N84" t="s">
        <v>42</v>
      </c>
      <c r="O84" t="s">
        <v>18</v>
      </c>
    </row>
    <row r="85" spans="1:15">
      <c r="A85" t="s">
        <v>124</v>
      </c>
      <c r="B85" t="s">
        <v>24</v>
      </c>
      <c r="C85" s="7">
        <v>45507</v>
      </c>
      <c r="D85" t="s">
        <v>15</v>
      </c>
      <c r="E85" t="s">
        <v>51</v>
      </c>
      <c r="F85">
        <v>4247</v>
      </c>
      <c r="G85">
        <v>390</v>
      </c>
      <c r="H85">
        <v>213</v>
      </c>
      <c r="I85">
        <v>29785</v>
      </c>
      <c r="J85">
        <v>57768</v>
      </c>
      <c r="K85">
        <v>122</v>
      </c>
      <c r="L85" s="14">
        <v>0.16283364109451101</v>
      </c>
      <c r="M85" t="s">
        <v>42</v>
      </c>
      <c r="N85" t="s">
        <v>375</v>
      </c>
      <c r="O85" t="s">
        <v>18</v>
      </c>
    </row>
    <row r="86" spans="1:15">
      <c r="A86" t="s">
        <v>125</v>
      </c>
      <c r="B86" t="s">
        <v>14</v>
      </c>
      <c r="C86" s="7">
        <v>45522</v>
      </c>
      <c r="D86" t="s">
        <v>15</v>
      </c>
      <c r="E86" t="s">
        <v>20</v>
      </c>
      <c r="F86">
        <v>2965</v>
      </c>
      <c r="G86">
        <v>328</v>
      </c>
      <c r="H86">
        <v>171</v>
      </c>
      <c r="I86">
        <v>57685</v>
      </c>
      <c r="J86">
        <v>67536</v>
      </c>
      <c r="K86">
        <v>264</v>
      </c>
      <c r="L86" s="14">
        <v>6.0050273034584399E-2</v>
      </c>
      <c r="M86" t="s">
        <v>45</v>
      </c>
      <c r="N86" t="s">
        <v>42</v>
      </c>
      <c r="O86" t="s">
        <v>18</v>
      </c>
    </row>
    <row r="87" spans="1:15">
      <c r="A87" t="s">
        <v>126</v>
      </c>
      <c r="B87" t="s">
        <v>24</v>
      </c>
      <c r="C87" s="7">
        <v>45791</v>
      </c>
      <c r="D87" t="s">
        <v>25</v>
      </c>
      <c r="E87" t="s">
        <v>29</v>
      </c>
      <c r="F87">
        <v>1371</v>
      </c>
      <c r="G87">
        <v>139</v>
      </c>
      <c r="H87">
        <v>96</v>
      </c>
      <c r="I87">
        <v>36140</v>
      </c>
      <c r="J87">
        <v>39395</v>
      </c>
      <c r="K87">
        <v>169</v>
      </c>
      <c r="L87" s="14">
        <v>4.4438295517432197E-2</v>
      </c>
      <c r="M87" t="s">
        <v>45</v>
      </c>
      <c r="N87" t="s">
        <v>42</v>
      </c>
      <c r="O87" t="s">
        <v>18</v>
      </c>
    </row>
    <row r="88" spans="1:15">
      <c r="A88" t="s">
        <v>127</v>
      </c>
      <c r="B88" t="s">
        <v>24</v>
      </c>
      <c r="C88" s="7">
        <v>45405</v>
      </c>
      <c r="D88" t="s">
        <v>25</v>
      </c>
      <c r="E88" t="s">
        <v>16</v>
      </c>
      <c r="F88">
        <v>2683</v>
      </c>
      <c r="G88">
        <v>496</v>
      </c>
      <c r="H88">
        <v>89</v>
      </c>
      <c r="I88">
        <v>53435</v>
      </c>
      <c r="J88">
        <v>30334</v>
      </c>
      <c r="K88">
        <v>160</v>
      </c>
      <c r="L88" s="14">
        <v>6.1158416768035899E-2</v>
      </c>
      <c r="M88" t="s">
        <v>45</v>
      </c>
      <c r="N88" t="s">
        <v>42</v>
      </c>
      <c r="O88" t="s">
        <v>18</v>
      </c>
    </row>
    <row r="89" spans="1:15">
      <c r="A89" t="s">
        <v>128</v>
      </c>
      <c r="B89" t="s">
        <v>24</v>
      </c>
      <c r="C89" s="7">
        <v>45705</v>
      </c>
      <c r="D89" t="s">
        <v>25</v>
      </c>
      <c r="E89" t="s">
        <v>35</v>
      </c>
      <c r="F89">
        <v>4796</v>
      </c>
      <c r="G89">
        <v>427</v>
      </c>
      <c r="H89">
        <v>339</v>
      </c>
      <c r="I89">
        <v>30752</v>
      </c>
      <c r="J89">
        <v>33870</v>
      </c>
      <c r="K89">
        <v>298</v>
      </c>
      <c r="L89" s="14">
        <v>0.18086628511966699</v>
      </c>
      <c r="M89" t="s">
        <v>45</v>
      </c>
      <c r="N89" t="s">
        <v>42</v>
      </c>
      <c r="O89" t="s">
        <v>18</v>
      </c>
    </row>
    <row r="90" spans="1:15">
      <c r="A90" t="s">
        <v>129</v>
      </c>
      <c r="B90" t="s">
        <v>14</v>
      </c>
      <c r="C90" s="7">
        <v>45630</v>
      </c>
      <c r="D90" t="s">
        <v>15</v>
      </c>
      <c r="E90" t="s">
        <v>29</v>
      </c>
      <c r="F90">
        <v>2601</v>
      </c>
      <c r="G90">
        <v>336</v>
      </c>
      <c r="H90">
        <v>260</v>
      </c>
      <c r="I90">
        <v>32368</v>
      </c>
      <c r="J90">
        <v>49028</v>
      </c>
      <c r="K90">
        <v>120</v>
      </c>
      <c r="L90" s="14">
        <v>9.8770390509144795E-2</v>
      </c>
      <c r="M90" t="s">
        <v>45</v>
      </c>
      <c r="N90" t="s">
        <v>42</v>
      </c>
      <c r="O90" t="s">
        <v>18</v>
      </c>
    </row>
    <row r="91" spans="1:15">
      <c r="A91" t="s">
        <v>130</v>
      </c>
      <c r="B91" t="s">
        <v>24</v>
      </c>
      <c r="C91" s="7">
        <v>45495</v>
      </c>
      <c r="D91" t="s">
        <v>25</v>
      </c>
      <c r="E91" t="s">
        <v>29</v>
      </c>
      <c r="F91">
        <v>3336</v>
      </c>
      <c r="G91">
        <v>229</v>
      </c>
      <c r="H91">
        <v>337</v>
      </c>
      <c r="I91">
        <v>22117</v>
      </c>
      <c r="J91">
        <v>26205</v>
      </c>
      <c r="K91">
        <v>160</v>
      </c>
      <c r="L91" s="14">
        <v>0.17642537414658399</v>
      </c>
      <c r="M91" t="s">
        <v>376</v>
      </c>
      <c r="N91" t="s">
        <v>42</v>
      </c>
      <c r="O91" t="s">
        <v>18</v>
      </c>
    </row>
    <row r="92" spans="1:15">
      <c r="A92" t="s">
        <v>131</v>
      </c>
      <c r="B92" t="s">
        <v>24</v>
      </c>
      <c r="C92" s="7">
        <v>45774</v>
      </c>
      <c r="D92" t="s">
        <v>15</v>
      </c>
      <c r="E92" t="s">
        <v>20</v>
      </c>
      <c r="F92">
        <v>1165</v>
      </c>
      <c r="G92">
        <v>294</v>
      </c>
      <c r="H92">
        <v>163</v>
      </c>
      <c r="I92">
        <v>20659</v>
      </c>
      <c r="J92">
        <v>45926</v>
      </c>
      <c r="K92">
        <v>111</v>
      </c>
      <c r="L92" s="14">
        <v>7.8512996756861395E-2</v>
      </c>
      <c r="M92" t="s">
        <v>45</v>
      </c>
      <c r="N92" t="s">
        <v>375</v>
      </c>
      <c r="O92" t="s">
        <v>22</v>
      </c>
    </row>
    <row r="93" spans="1:15">
      <c r="A93" t="s">
        <v>132</v>
      </c>
      <c r="B93" t="s">
        <v>31</v>
      </c>
      <c r="C93" s="7">
        <v>45376</v>
      </c>
      <c r="D93" t="s">
        <v>57</v>
      </c>
      <c r="E93" t="s">
        <v>20</v>
      </c>
      <c r="F93">
        <v>1948</v>
      </c>
      <c r="G93">
        <v>155</v>
      </c>
      <c r="H93">
        <v>315</v>
      </c>
      <c r="I93">
        <v>30321</v>
      </c>
      <c r="J93">
        <v>57121</v>
      </c>
      <c r="K93">
        <v>82</v>
      </c>
      <c r="L93" s="14">
        <v>7.9746710200850904E-2</v>
      </c>
      <c r="M93" t="s">
        <v>21</v>
      </c>
      <c r="N93" t="s">
        <v>45</v>
      </c>
      <c r="O93" t="s">
        <v>59</v>
      </c>
    </row>
    <row r="94" spans="1:15">
      <c r="A94" t="s">
        <v>133</v>
      </c>
      <c r="B94" t="s">
        <v>14</v>
      </c>
      <c r="C94" s="7">
        <v>45351</v>
      </c>
      <c r="D94" t="s">
        <v>15</v>
      </c>
      <c r="E94" t="s">
        <v>49</v>
      </c>
      <c r="F94">
        <v>1100</v>
      </c>
      <c r="G94">
        <v>229</v>
      </c>
      <c r="H94">
        <v>312</v>
      </c>
      <c r="I94">
        <v>25641</v>
      </c>
      <c r="J94">
        <v>34601</v>
      </c>
      <c r="K94">
        <v>169</v>
      </c>
      <c r="L94" s="14">
        <v>6.3999063999063993E-2</v>
      </c>
      <c r="M94" t="s">
        <v>21</v>
      </c>
      <c r="N94" t="s">
        <v>375</v>
      </c>
      <c r="O94" t="s">
        <v>22</v>
      </c>
    </row>
    <row r="95" spans="1:15">
      <c r="A95" t="s">
        <v>134</v>
      </c>
      <c r="B95" t="s">
        <v>24</v>
      </c>
      <c r="C95" s="7">
        <v>45609</v>
      </c>
      <c r="D95" t="s">
        <v>25</v>
      </c>
      <c r="E95" t="s">
        <v>41</v>
      </c>
      <c r="F95">
        <v>4628</v>
      </c>
      <c r="G95">
        <v>257</v>
      </c>
      <c r="H95">
        <v>397</v>
      </c>
      <c r="I95">
        <v>36686</v>
      </c>
      <c r="J95">
        <v>54683</v>
      </c>
      <c r="K95">
        <v>98</v>
      </c>
      <c r="L95" s="14">
        <v>0.14397862944992601</v>
      </c>
      <c r="M95" t="s">
        <v>45</v>
      </c>
      <c r="N95" t="s">
        <v>42</v>
      </c>
      <c r="O95" t="s">
        <v>18</v>
      </c>
    </row>
    <row r="96" spans="1:15">
      <c r="A96" t="s">
        <v>135</v>
      </c>
      <c r="B96" t="s">
        <v>14</v>
      </c>
      <c r="C96" s="7">
        <v>45373</v>
      </c>
      <c r="D96" t="s">
        <v>25</v>
      </c>
      <c r="E96" t="s">
        <v>16</v>
      </c>
      <c r="F96">
        <v>2319</v>
      </c>
      <c r="G96">
        <v>484</v>
      </c>
      <c r="H96">
        <v>193</v>
      </c>
      <c r="I96">
        <v>21202</v>
      </c>
      <c r="J96">
        <v>18091</v>
      </c>
      <c r="K96">
        <v>241</v>
      </c>
      <c r="L96" s="14">
        <v>0.14130742382794101</v>
      </c>
      <c r="M96" t="s">
        <v>42</v>
      </c>
      <c r="N96" t="s">
        <v>375</v>
      </c>
      <c r="O96" t="s">
        <v>55</v>
      </c>
    </row>
    <row r="97" spans="1:15">
      <c r="A97" t="s">
        <v>136</v>
      </c>
      <c r="B97" t="s">
        <v>24</v>
      </c>
      <c r="C97" s="7">
        <v>45367</v>
      </c>
      <c r="D97" t="s">
        <v>25</v>
      </c>
      <c r="E97" t="s">
        <v>29</v>
      </c>
      <c r="F97">
        <v>2895</v>
      </c>
      <c r="G97">
        <v>292</v>
      </c>
      <c r="H97">
        <v>90</v>
      </c>
      <c r="I97">
        <v>24223</v>
      </c>
      <c r="J97">
        <v>54626</v>
      </c>
      <c r="K97">
        <v>114</v>
      </c>
      <c r="L97" s="14">
        <v>0.13528464682326699</v>
      </c>
      <c r="M97" t="s">
        <v>45</v>
      </c>
      <c r="N97" t="s">
        <v>42</v>
      </c>
      <c r="O97" t="s">
        <v>18</v>
      </c>
    </row>
    <row r="98" spans="1:15">
      <c r="A98" t="s">
        <v>137</v>
      </c>
      <c r="B98" t="s">
        <v>14</v>
      </c>
      <c r="C98" s="7">
        <v>45317</v>
      </c>
      <c r="D98" t="s">
        <v>15</v>
      </c>
      <c r="E98" t="s">
        <v>35</v>
      </c>
      <c r="F98">
        <v>3878</v>
      </c>
      <c r="G98">
        <v>431</v>
      </c>
      <c r="H98">
        <v>97</v>
      </c>
      <c r="I98">
        <v>41763</v>
      </c>
      <c r="J98">
        <v>29729</v>
      </c>
      <c r="K98">
        <v>191</v>
      </c>
      <c r="L98" s="14">
        <v>0.10550008380624</v>
      </c>
      <c r="M98" t="s">
        <v>21</v>
      </c>
      <c r="N98" t="s">
        <v>375</v>
      </c>
      <c r="O98" t="s">
        <v>22</v>
      </c>
    </row>
    <row r="99" spans="1:15">
      <c r="A99" t="s">
        <v>138</v>
      </c>
      <c r="B99" t="s">
        <v>24</v>
      </c>
      <c r="C99" s="7">
        <v>45366</v>
      </c>
      <c r="D99" t="s">
        <v>25</v>
      </c>
      <c r="E99" t="s">
        <v>37</v>
      </c>
      <c r="F99">
        <v>4969</v>
      </c>
      <c r="G99">
        <v>433</v>
      </c>
      <c r="H99">
        <v>237</v>
      </c>
      <c r="I99">
        <v>59552</v>
      </c>
      <c r="J99">
        <v>23885</v>
      </c>
      <c r="K99">
        <v>157</v>
      </c>
      <c r="L99" s="14">
        <v>9.4690354648038697E-2</v>
      </c>
      <c r="M99" t="s">
        <v>21</v>
      </c>
      <c r="N99" t="s">
        <v>376</v>
      </c>
      <c r="O99" t="s">
        <v>18</v>
      </c>
    </row>
    <row r="100" spans="1:15">
      <c r="A100" t="s">
        <v>139</v>
      </c>
      <c r="B100" t="s">
        <v>24</v>
      </c>
      <c r="C100" s="7">
        <v>45580</v>
      </c>
      <c r="D100" t="s">
        <v>15</v>
      </c>
      <c r="E100" t="s">
        <v>29</v>
      </c>
      <c r="F100">
        <v>1984</v>
      </c>
      <c r="G100">
        <v>481</v>
      </c>
      <c r="H100">
        <v>356</v>
      </c>
      <c r="I100">
        <v>40681</v>
      </c>
      <c r="J100">
        <v>63111</v>
      </c>
      <c r="K100">
        <v>258</v>
      </c>
      <c r="L100" s="14">
        <v>6.9344411395983394E-2</v>
      </c>
      <c r="M100" t="s">
        <v>42</v>
      </c>
      <c r="N100" t="s">
        <v>375</v>
      </c>
      <c r="O100" t="s">
        <v>18</v>
      </c>
    </row>
    <row r="101" spans="1:15">
      <c r="A101" t="s">
        <v>140</v>
      </c>
      <c r="B101" t="s">
        <v>14</v>
      </c>
      <c r="C101" s="7">
        <v>45494</v>
      </c>
      <c r="D101" t="s">
        <v>15</v>
      </c>
      <c r="E101" t="s">
        <v>16</v>
      </c>
      <c r="F101">
        <v>3004</v>
      </c>
      <c r="G101">
        <v>415</v>
      </c>
      <c r="H101">
        <v>218</v>
      </c>
      <c r="I101">
        <v>36090</v>
      </c>
      <c r="J101">
        <v>37073</v>
      </c>
      <c r="K101">
        <v>181</v>
      </c>
      <c r="L101" s="14">
        <v>0.100775838182322</v>
      </c>
      <c r="M101" t="s">
        <v>21</v>
      </c>
      <c r="N101" t="s">
        <v>375</v>
      </c>
      <c r="O101" t="s">
        <v>22</v>
      </c>
    </row>
    <row r="102" spans="1:15">
      <c r="A102" t="s">
        <v>141</v>
      </c>
      <c r="B102" t="s">
        <v>24</v>
      </c>
      <c r="C102" s="7">
        <v>45577</v>
      </c>
      <c r="D102" t="s">
        <v>15</v>
      </c>
      <c r="E102" t="s">
        <v>37</v>
      </c>
      <c r="F102">
        <v>3169</v>
      </c>
      <c r="G102">
        <v>386</v>
      </c>
      <c r="H102">
        <v>175</v>
      </c>
      <c r="I102">
        <v>45012</v>
      </c>
      <c r="J102">
        <v>38508</v>
      </c>
      <c r="K102">
        <v>218</v>
      </c>
      <c r="L102" s="14">
        <v>8.2866791077934807E-2</v>
      </c>
      <c r="M102" t="s">
        <v>42</v>
      </c>
      <c r="N102" t="s">
        <v>375</v>
      </c>
      <c r="O102" t="s">
        <v>18</v>
      </c>
    </row>
    <row r="103" spans="1:15">
      <c r="A103" t="s">
        <v>142</v>
      </c>
      <c r="B103" t="s">
        <v>24</v>
      </c>
      <c r="C103" s="7">
        <v>45591</v>
      </c>
      <c r="D103" t="s">
        <v>15</v>
      </c>
      <c r="E103" t="s">
        <v>16</v>
      </c>
      <c r="F103">
        <v>3036</v>
      </c>
      <c r="G103">
        <v>293</v>
      </c>
      <c r="H103">
        <v>115</v>
      </c>
      <c r="I103">
        <v>23776</v>
      </c>
      <c r="J103">
        <v>46386</v>
      </c>
      <c r="K103">
        <v>282</v>
      </c>
      <c r="L103" s="14">
        <v>0.144851951547779</v>
      </c>
      <c r="M103" t="s">
        <v>42</v>
      </c>
      <c r="N103" t="s">
        <v>375</v>
      </c>
      <c r="O103" t="s">
        <v>18</v>
      </c>
    </row>
    <row r="104" spans="1:15">
      <c r="A104" t="s">
        <v>143</v>
      </c>
      <c r="B104" t="s">
        <v>14</v>
      </c>
      <c r="C104" s="7">
        <v>45336</v>
      </c>
      <c r="D104" t="s">
        <v>15</v>
      </c>
      <c r="E104" t="s">
        <v>32</v>
      </c>
      <c r="F104">
        <v>1830</v>
      </c>
      <c r="G104">
        <v>112</v>
      </c>
      <c r="H104">
        <v>181</v>
      </c>
      <c r="I104">
        <v>31870</v>
      </c>
      <c r="J104">
        <v>55742</v>
      </c>
      <c r="K104">
        <v>263</v>
      </c>
      <c r="L104" s="14">
        <v>6.6614370881706894E-2</v>
      </c>
      <c r="M104" t="s">
        <v>45</v>
      </c>
      <c r="N104" t="s">
        <v>42</v>
      </c>
      <c r="O104" t="s">
        <v>18</v>
      </c>
    </row>
    <row r="105" spans="1:15">
      <c r="A105" t="s">
        <v>144</v>
      </c>
      <c r="B105" t="s">
        <v>24</v>
      </c>
      <c r="C105" s="7">
        <v>45413</v>
      </c>
      <c r="D105" t="s">
        <v>25</v>
      </c>
      <c r="E105" t="s">
        <v>35</v>
      </c>
      <c r="F105">
        <v>2587</v>
      </c>
      <c r="G105">
        <v>447</v>
      </c>
      <c r="H105">
        <v>183</v>
      </c>
      <c r="I105">
        <v>36266</v>
      </c>
      <c r="J105">
        <v>32877</v>
      </c>
      <c r="K105">
        <v>132</v>
      </c>
      <c r="L105" s="14">
        <v>8.8705674736668003E-2</v>
      </c>
      <c r="M105" t="s">
        <v>21</v>
      </c>
      <c r="N105" t="s">
        <v>376</v>
      </c>
      <c r="O105" t="s">
        <v>18</v>
      </c>
    </row>
    <row r="106" spans="1:15">
      <c r="A106" t="s">
        <v>145</v>
      </c>
      <c r="B106" t="s">
        <v>24</v>
      </c>
      <c r="C106" s="7">
        <v>45553</v>
      </c>
      <c r="D106" t="s">
        <v>15</v>
      </c>
      <c r="E106" t="s">
        <v>16</v>
      </c>
      <c r="F106">
        <v>2878</v>
      </c>
      <c r="G106">
        <v>265</v>
      </c>
      <c r="H106">
        <v>91</v>
      </c>
      <c r="I106">
        <v>52090</v>
      </c>
      <c r="J106">
        <v>28924</v>
      </c>
      <c r="K106">
        <v>133</v>
      </c>
      <c r="L106" s="14">
        <v>6.2084853138798198E-2</v>
      </c>
      <c r="M106" t="s">
        <v>42</v>
      </c>
      <c r="N106" t="s">
        <v>375</v>
      </c>
      <c r="O106" t="s">
        <v>18</v>
      </c>
    </row>
    <row r="107" spans="1:15">
      <c r="A107" t="s">
        <v>146</v>
      </c>
      <c r="B107" t="s">
        <v>24</v>
      </c>
      <c r="C107" s="7">
        <v>45677</v>
      </c>
      <c r="D107" t="s">
        <v>25</v>
      </c>
      <c r="E107" t="s">
        <v>26</v>
      </c>
      <c r="F107">
        <v>4619</v>
      </c>
      <c r="G107">
        <v>272</v>
      </c>
      <c r="H107">
        <v>57</v>
      </c>
      <c r="I107">
        <v>21334</v>
      </c>
      <c r="J107">
        <v>46292</v>
      </c>
      <c r="K107">
        <v>91</v>
      </c>
      <c r="L107" s="14">
        <v>0.23193025217961899</v>
      </c>
      <c r="M107" t="s">
        <v>45</v>
      </c>
      <c r="N107" t="s">
        <v>42</v>
      </c>
      <c r="O107" t="s">
        <v>18</v>
      </c>
    </row>
    <row r="108" spans="1:15">
      <c r="A108" t="s">
        <v>147</v>
      </c>
      <c r="B108" t="s">
        <v>24</v>
      </c>
      <c r="C108" s="7">
        <v>45670</v>
      </c>
      <c r="D108" t="s">
        <v>15</v>
      </c>
      <c r="E108" t="s">
        <v>32</v>
      </c>
      <c r="F108">
        <v>4090</v>
      </c>
      <c r="G108">
        <v>209</v>
      </c>
      <c r="H108">
        <v>278</v>
      </c>
      <c r="I108">
        <v>52853</v>
      </c>
      <c r="J108">
        <v>57084</v>
      </c>
      <c r="K108">
        <v>102</v>
      </c>
      <c r="L108" s="14">
        <v>8.6598679355949504E-2</v>
      </c>
      <c r="M108" t="s">
        <v>45</v>
      </c>
      <c r="N108" t="s">
        <v>375</v>
      </c>
      <c r="O108" t="s">
        <v>22</v>
      </c>
    </row>
    <row r="109" spans="1:15">
      <c r="A109" t="s">
        <v>148</v>
      </c>
      <c r="B109" t="s">
        <v>31</v>
      </c>
      <c r="C109" s="7">
        <v>45542</v>
      </c>
      <c r="D109" t="s">
        <v>57</v>
      </c>
      <c r="E109" t="s">
        <v>32</v>
      </c>
      <c r="F109">
        <v>3882</v>
      </c>
      <c r="G109">
        <v>342</v>
      </c>
      <c r="H109">
        <v>374</v>
      </c>
      <c r="I109">
        <v>41991</v>
      </c>
      <c r="J109">
        <v>48554</v>
      </c>
      <c r="K109">
        <v>118</v>
      </c>
      <c r="L109" s="14">
        <v>0.109499654687909</v>
      </c>
      <c r="M109" t="s">
        <v>21</v>
      </c>
      <c r="N109" t="s">
        <v>45</v>
      </c>
      <c r="O109" t="s">
        <v>59</v>
      </c>
    </row>
    <row r="110" spans="1:15">
      <c r="A110" t="s">
        <v>149</v>
      </c>
      <c r="B110" t="s">
        <v>14</v>
      </c>
      <c r="C110" s="7">
        <v>45617</v>
      </c>
      <c r="D110" t="s">
        <v>15</v>
      </c>
      <c r="E110" t="s">
        <v>32</v>
      </c>
      <c r="F110">
        <v>4581</v>
      </c>
      <c r="G110">
        <v>181</v>
      </c>
      <c r="H110">
        <v>112</v>
      </c>
      <c r="I110">
        <v>35221</v>
      </c>
      <c r="J110">
        <v>28797</v>
      </c>
      <c r="K110">
        <v>164</v>
      </c>
      <c r="L110" s="14">
        <v>0.13838335084182701</v>
      </c>
      <c r="M110" t="s">
        <v>45</v>
      </c>
      <c r="N110" t="s">
        <v>42</v>
      </c>
      <c r="O110" t="s">
        <v>18</v>
      </c>
    </row>
    <row r="111" spans="1:15">
      <c r="A111" t="s">
        <v>150</v>
      </c>
      <c r="B111" t="s">
        <v>14</v>
      </c>
      <c r="C111" s="7">
        <v>45469</v>
      </c>
      <c r="D111" t="s">
        <v>15</v>
      </c>
      <c r="E111" t="s">
        <v>26</v>
      </c>
      <c r="F111">
        <v>3253</v>
      </c>
      <c r="G111">
        <v>483</v>
      </c>
      <c r="H111">
        <v>336</v>
      </c>
      <c r="I111">
        <v>25397</v>
      </c>
      <c r="J111">
        <v>51485</v>
      </c>
      <c r="K111">
        <v>131</v>
      </c>
      <c r="L111" s="14">
        <v>0.160333897704453</v>
      </c>
      <c r="M111" t="s">
        <v>21</v>
      </c>
      <c r="N111" t="s">
        <v>375</v>
      </c>
      <c r="O111" t="s">
        <v>22</v>
      </c>
    </row>
    <row r="112" spans="1:15">
      <c r="A112" t="s">
        <v>151</v>
      </c>
      <c r="B112" t="s">
        <v>31</v>
      </c>
      <c r="C112" s="7">
        <v>45493</v>
      </c>
      <c r="D112" t="s">
        <v>57</v>
      </c>
      <c r="E112" t="s">
        <v>32</v>
      </c>
      <c r="F112">
        <v>4955</v>
      </c>
      <c r="G112">
        <v>299</v>
      </c>
      <c r="H112">
        <v>345</v>
      </c>
      <c r="I112">
        <v>33644</v>
      </c>
      <c r="J112">
        <v>43547</v>
      </c>
      <c r="K112">
        <v>194</v>
      </c>
      <c r="L112" s="14">
        <v>0.16641897515158699</v>
      </c>
      <c r="M112" t="s">
        <v>21</v>
      </c>
      <c r="N112" t="s">
        <v>45</v>
      </c>
      <c r="O112" t="s">
        <v>59</v>
      </c>
    </row>
    <row r="113" spans="1:15">
      <c r="A113" t="s">
        <v>152</v>
      </c>
      <c r="B113" t="s">
        <v>14</v>
      </c>
      <c r="C113" s="7">
        <v>45704</v>
      </c>
      <c r="D113" t="s">
        <v>15</v>
      </c>
      <c r="E113" t="s">
        <v>51</v>
      </c>
      <c r="F113">
        <v>1333</v>
      </c>
      <c r="G113">
        <v>286</v>
      </c>
      <c r="H113">
        <v>298</v>
      </c>
      <c r="I113">
        <v>36174</v>
      </c>
      <c r="J113">
        <v>34517</v>
      </c>
      <c r="K113">
        <v>170</v>
      </c>
      <c r="L113" s="14">
        <v>5.2993862995521598E-2</v>
      </c>
      <c r="M113" t="s">
        <v>45</v>
      </c>
      <c r="N113" t="s">
        <v>42</v>
      </c>
      <c r="O113" t="s">
        <v>18</v>
      </c>
    </row>
    <row r="114" spans="1:15">
      <c r="A114" t="s">
        <v>153</v>
      </c>
      <c r="B114" t="s">
        <v>14</v>
      </c>
      <c r="C114" s="7">
        <v>45544</v>
      </c>
      <c r="D114" t="s">
        <v>15</v>
      </c>
      <c r="E114" t="s">
        <v>26</v>
      </c>
      <c r="F114">
        <v>1616</v>
      </c>
      <c r="G114">
        <v>360</v>
      </c>
      <c r="H114">
        <v>180</v>
      </c>
      <c r="I114">
        <v>54342</v>
      </c>
      <c r="J114">
        <v>18796</v>
      </c>
      <c r="K114">
        <v>282</v>
      </c>
      <c r="L114" s="14">
        <v>3.9674653122814797E-2</v>
      </c>
      <c r="M114" t="s">
        <v>45</v>
      </c>
      <c r="N114" t="s">
        <v>42</v>
      </c>
      <c r="O114" t="s">
        <v>18</v>
      </c>
    </row>
    <row r="115" spans="1:15">
      <c r="A115" t="s">
        <v>154</v>
      </c>
      <c r="B115" t="s">
        <v>24</v>
      </c>
      <c r="C115" s="7">
        <v>45489</v>
      </c>
      <c r="D115" t="s">
        <v>15</v>
      </c>
      <c r="E115" t="s">
        <v>41</v>
      </c>
      <c r="F115">
        <v>1803</v>
      </c>
      <c r="G115">
        <v>273</v>
      </c>
      <c r="H115">
        <v>287</v>
      </c>
      <c r="I115">
        <v>46176</v>
      </c>
      <c r="J115">
        <v>25488</v>
      </c>
      <c r="K115">
        <v>141</v>
      </c>
      <c r="L115" s="14">
        <v>5.1173769923769902E-2</v>
      </c>
      <c r="M115" t="s">
        <v>42</v>
      </c>
      <c r="N115" t="s">
        <v>375</v>
      </c>
      <c r="O115" t="s">
        <v>18</v>
      </c>
    </row>
    <row r="116" spans="1:15">
      <c r="A116" t="s">
        <v>155</v>
      </c>
      <c r="B116" t="s">
        <v>14</v>
      </c>
      <c r="C116" s="7">
        <v>45762</v>
      </c>
      <c r="D116" t="s">
        <v>15</v>
      </c>
      <c r="E116" t="s">
        <v>20</v>
      </c>
      <c r="F116">
        <v>4177</v>
      </c>
      <c r="G116">
        <v>489</v>
      </c>
      <c r="H116">
        <v>331</v>
      </c>
      <c r="I116">
        <v>57451</v>
      </c>
      <c r="J116">
        <v>73793</v>
      </c>
      <c r="K116">
        <v>251</v>
      </c>
      <c r="L116" s="14">
        <v>8.6978468608031198E-2</v>
      </c>
      <c r="M116" t="s">
        <v>21</v>
      </c>
      <c r="N116" t="s">
        <v>375</v>
      </c>
      <c r="O116" t="s">
        <v>22</v>
      </c>
    </row>
    <row r="117" spans="1:15">
      <c r="A117" t="s">
        <v>156</v>
      </c>
      <c r="B117" t="s">
        <v>14</v>
      </c>
      <c r="C117" s="7">
        <v>45781</v>
      </c>
      <c r="D117" t="s">
        <v>25</v>
      </c>
      <c r="E117" t="s">
        <v>26</v>
      </c>
      <c r="F117">
        <v>1311</v>
      </c>
      <c r="G117">
        <v>181</v>
      </c>
      <c r="H117">
        <v>361</v>
      </c>
      <c r="I117">
        <v>37148</v>
      </c>
      <c r="J117">
        <v>44875</v>
      </c>
      <c r="K117">
        <v>245</v>
      </c>
      <c r="L117" s="14">
        <v>4.9881554861634501E-2</v>
      </c>
      <c r="M117" t="s">
        <v>42</v>
      </c>
      <c r="N117" t="s">
        <v>375</v>
      </c>
      <c r="O117" t="s">
        <v>55</v>
      </c>
    </row>
    <row r="118" spans="1:15">
      <c r="A118" t="s">
        <v>157</v>
      </c>
      <c r="B118" t="s">
        <v>14</v>
      </c>
      <c r="C118" s="7">
        <v>45340</v>
      </c>
      <c r="D118" t="s">
        <v>25</v>
      </c>
      <c r="E118" t="s">
        <v>49</v>
      </c>
      <c r="F118">
        <v>1516</v>
      </c>
      <c r="G118">
        <v>215</v>
      </c>
      <c r="H118">
        <v>332</v>
      </c>
      <c r="I118">
        <v>58981</v>
      </c>
      <c r="J118">
        <v>36118</v>
      </c>
      <c r="K118">
        <v>211</v>
      </c>
      <c r="L118" s="14">
        <v>3.4977365592309399E-2</v>
      </c>
      <c r="M118" t="s">
        <v>42</v>
      </c>
      <c r="N118" t="s">
        <v>375</v>
      </c>
      <c r="O118" t="s">
        <v>55</v>
      </c>
    </row>
    <row r="119" spans="1:15">
      <c r="A119" t="s">
        <v>158</v>
      </c>
      <c r="B119" t="s">
        <v>24</v>
      </c>
      <c r="C119" s="7">
        <v>45428</v>
      </c>
      <c r="D119" t="s">
        <v>25</v>
      </c>
      <c r="E119" t="s">
        <v>32</v>
      </c>
      <c r="F119">
        <v>2023</v>
      </c>
      <c r="G119">
        <v>124</v>
      </c>
      <c r="H119">
        <v>99</v>
      </c>
      <c r="I119">
        <v>54524</v>
      </c>
      <c r="J119">
        <v>34790</v>
      </c>
      <c r="K119">
        <v>195</v>
      </c>
      <c r="L119" s="14">
        <v>4.1192869195216801E-2</v>
      </c>
      <c r="M119" t="s">
        <v>21</v>
      </c>
      <c r="N119" t="s">
        <v>376</v>
      </c>
      <c r="O119" t="s">
        <v>18</v>
      </c>
    </row>
    <row r="120" spans="1:15">
      <c r="A120" t="s">
        <v>159</v>
      </c>
      <c r="B120" t="s">
        <v>24</v>
      </c>
      <c r="C120" s="7">
        <v>45806</v>
      </c>
      <c r="D120" t="s">
        <v>25</v>
      </c>
      <c r="E120" t="s">
        <v>32</v>
      </c>
      <c r="F120">
        <v>2134</v>
      </c>
      <c r="G120">
        <v>322</v>
      </c>
      <c r="H120">
        <v>114</v>
      </c>
      <c r="I120">
        <v>44338</v>
      </c>
      <c r="J120">
        <v>52165</v>
      </c>
      <c r="K120">
        <v>176</v>
      </c>
      <c r="L120" s="14">
        <v>5.7963823356939899E-2</v>
      </c>
      <c r="M120" t="s">
        <v>376</v>
      </c>
      <c r="N120" t="s">
        <v>42</v>
      </c>
      <c r="O120" t="s">
        <v>18</v>
      </c>
    </row>
    <row r="121" spans="1:15">
      <c r="A121" t="s">
        <v>160</v>
      </c>
      <c r="B121" t="s">
        <v>14</v>
      </c>
      <c r="C121" s="7">
        <v>45674</v>
      </c>
      <c r="D121" t="s">
        <v>15</v>
      </c>
      <c r="E121" t="s">
        <v>41</v>
      </c>
      <c r="F121">
        <v>2266</v>
      </c>
      <c r="G121">
        <v>126</v>
      </c>
      <c r="H121">
        <v>140</v>
      </c>
      <c r="I121">
        <v>53759</v>
      </c>
      <c r="J121">
        <v>46834</v>
      </c>
      <c r="K121">
        <v>277</v>
      </c>
      <c r="L121" s="14">
        <v>4.7099090384865802E-2</v>
      </c>
      <c r="M121" t="s">
        <v>21</v>
      </c>
      <c r="N121" t="s">
        <v>375</v>
      </c>
      <c r="O121" t="s">
        <v>22</v>
      </c>
    </row>
    <row r="122" spans="1:15">
      <c r="A122" t="s">
        <v>161</v>
      </c>
      <c r="B122" t="s">
        <v>14</v>
      </c>
      <c r="C122" s="7">
        <v>45777</v>
      </c>
      <c r="D122" t="s">
        <v>25</v>
      </c>
      <c r="E122" t="s">
        <v>26</v>
      </c>
      <c r="F122">
        <v>3916</v>
      </c>
      <c r="G122">
        <v>459</v>
      </c>
      <c r="H122">
        <v>229</v>
      </c>
      <c r="I122">
        <v>48989</v>
      </c>
      <c r="J122">
        <v>39768</v>
      </c>
      <c r="K122">
        <v>200</v>
      </c>
      <c r="L122" s="14">
        <v>9.3980281287635997E-2</v>
      </c>
      <c r="M122" t="s">
        <v>42</v>
      </c>
      <c r="N122" t="s">
        <v>375</v>
      </c>
      <c r="O122" t="s">
        <v>55</v>
      </c>
    </row>
    <row r="123" spans="1:15">
      <c r="A123" t="s">
        <v>162</v>
      </c>
      <c r="B123" t="s">
        <v>24</v>
      </c>
      <c r="C123" s="7">
        <v>45346</v>
      </c>
      <c r="D123" t="s">
        <v>25</v>
      </c>
      <c r="E123" t="s">
        <v>32</v>
      </c>
      <c r="F123">
        <v>1022</v>
      </c>
      <c r="G123">
        <v>463</v>
      </c>
      <c r="H123">
        <v>360</v>
      </c>
      <c r="I123">
        <v>51468</v>
      </c>
      <c r="J123">
        <v>24279</v>
      </c>
      <c r="K123">
        <v>230</v>
      </c>
      <c r="L123" s="14">
        <v>3.5847516903707202E-2</v>
      </c>
      <c r="M123" t="s">
        <v>21</v>
      </c>
      <c r="N123" t="s">
        <v>376</v>
      </c>
      <c r="O123" t="s">
        <v>18</v>
      </c>
    </row>
    <row r="124" spans="1:15">
      <c r="A124" t="s">
        <v>163</v>
      </c>
      <c r="B124" t="s">
        <v>31</v>
      </c>
      <c r="C124" s="7">
        <v>45424</v>
      </c>
      <c r="D124" t="s">
        <v>15</v>
      </c>
      <c r="E124" t="s">
        <v>49</v>
      </c>
      <c r="F124">
        <v>2911</v>
      </c>
      <c r="G124">
        <v>467</v>
      </c>
      <c r="H124">
        <v>94</v>
      </c>
      <c r="I124">
        <v>59083</v>
      </c>
      <c r="J124">
        <v>49762</v>
      </c>
      <c r="K124">
        <v>236</v>
      </c>
      <c r="L124" s="14">
        <v>5.8764788517847798E-2</v>
      </c>
      <c r="M124" t="s">
        <v>21</v>
      </c>
      <c r="N124" t="s">
        <v>377</v>
      </c>
      <c r="O124" t="s">
        <v>22</v>
      </c>
    </row>
    <row r="125" spans="1:15">
      <c r="A125" t="s">
        <v>164</v>
      </c>
      <c r="B125" t="s">
        <v>24</v>
      </c>
      <c r="C125" s="7">
        <v>45421</v>
      </c>
      <c r="D125" t="s">
        <v>25</v>
      </c>
      <c r="E125" t="s">
        <v>26</v>
      </c>
      <c r="F125">
        <v>3277</v>
      </c>
      <c r="G125">
        <v>423</v>
      </c>
      <c r="H125">
        <v>259</v>
      </c>
      <c r="I125">
        <v>46328</v>
      </c>
      <c r="J125">
        <v>44293</v>
      </c>
      <c r="K125">
        <v>299</v>
      </c>
      <c r="L125" s="14">
        <v>8.5455879813503693E-2</v>
      </c>
      <c r="M125" t="s">
        <v>45</v>
      </c>
      <c r="N125" t="s">
        <v>42</v>
      </c>
      <c r="O125" t="s">
        <v>18</v>
      </c>
    </row>
    <row r="126" spans="1:15">
      <c r="A126" t="s">
        <v>165</v>
      </c>
      <c r="B126" t="s">
        <v>24</v>
      </c>
      <c r="C126" s="7">
        <v>45602</v>
      </c>
      <c r="D126" t="s">
        <v>15</v>
      </c>
      <c r="E126" t="s">
        <v>49</v>
      </c>
      <c r="F126">
        <v>2956</v>
      </c>
      <c r="G126">
        <v>381</v>
      </c>
      <c r="H126">
        <v>345</v>
      </c>
      <c r="I126">
        <v>33347</v>
      </c>
      <c r="J126">
        <v>22558</v>
      </c>
      <c r="K126">
        <v>173</v>
      </c>
      <c r="L126" s="14">
        <v>0.110414729960716</v>
      </c>
      <c r="M126" t="s">
        <v>42</v>
      </c>
      <c r="N126" t="s">
        <v>375</v>
      </c>
      <c r="O126" t="s">
        <v>18</v>
      </c>
    </row>
    <row r="127" spans="1:15">
      <c r="A127" t="s">
        <v>166</v>
      </c>
      <c r="B127" t="s">
        <v>24</v>
      </c>
      <c r="C127" s="7">
        <v>45295</v>
      </c>
      <c r="D127" t="s">
        <v>25</v>
      </c>
      <c r="E127" t="s">
        <v>35</v>
      </c>
      <c r="F127">
        <v>3208</v>
      </c>
      <c r="G127">
        <v>476</v>
      </c>
      <c r="H127">
        <v>277</v>
      </c>
      <c r="I127">
        <v>56072</v>
      </c>
      <c r="J127">
        <v>21061</v>
      </c>
      <c r="K127">
        <v>113</v>
      </c>
      <c r="L127" s="14">
        <v>7.0641318305036394E-2</v>
      </c>
      <c r="M127" t="s">
        <v>376</v>
      </c>
      <c r="N127" t="s">
        <v>42</v>
      </c>
      <c r="O127" t="s">
        <v>18</v>
      </c>
    </row>
    <row r="128" spans="1:15">
      <c r="A128" t="s">
        <v>167</v>
      </c>
      <c r="B128" t="s">
        <v>24</v>
      </c>
      <c r="C128" s="7">
        <v>45319</v>
      </c>
      <c r="D128" t="s">
        <v>15</v>
      </c>
      <c r="E128" t="s">
        <v>32</v>
      </c>
      <c r="F128">
        <v>1456</v>
      </c>
      <c r="G128">
        <v>265</v>
      </c>
      <c r="H128">
        <v>137</v>
      </c>
      <c r="I128">
        <v>53485</v>
      </c>
      <c r="J128">
        <v>59729</v>
      </c>
      <c r="K128">
        <v>145</v>
      </c>
      <c r="L128" s="14">
        <v>3.4738711788351903E-2</v>
      </c>
      <c r="M128" t="s">
        <v>45</v>
      </c>
      <c r="N128" t="s">
        <v>375</v>
      </c>
      <c r="O128" t="s">
        <v>22</v>
      </c>
    </row>
    <row r="129" spans="1:15">
      <c r="A129" t="s">
        <v>168</v>
      </c>
      <c r="B129" t="s">
        <v>14</v>
      </c>
      <c r="C129" s="7">
        <v>45344</v>
      </c>
      <c r="D129" t="s">
        <v>15</v>
      </c>
      <c r="E129" t="s">
        <v>26</v>
      </c>
      <c r="F129">
        <v>1902</v>
      </c>
      <c r="G129">
        <v>394</v>
      </c>
      <c r="H129">
        <v>279</v>
      </c>
      <c r="I129">
        <v>24615</v>
      </c>
      <c r="J129">
        <v>51330</v>
      </c>
      <c r="K129">
        <v>176</v>
      </c>
      <c r="L129" s="14">
        <v>0.104611009547024</v>
      </c>
      <c r="M129" t="s">
        <v>45</v>
      </c>
      <c r="N129" t="s">
        <v>42</v>
      </c>
      <c r="O129" t="s">
        <v>18</v>
      </c>
    </row>
    <row r="130" spans="1:15">
      <c r="A130" t="s">
        <v>169</v>
      </c>
      <c r="B130" t="s">
        <v>24</v>
      </c>
      <c r="C130" s="7">
        <v>45839</v>
      </c>
      <c r="D130" t="s">
        <v>25</v>
      </c>
      <c r="E130" t="s">
        <v>20</v>
      </c>
      <c r="F130">
        <v>3219</v>
      </c>
      <c r="G130">
        <v>424</v>
      </c>
      <c r="H130">
        <v>267</v>
      </c>
      <c r="I130">
        <v>48879</v>
      </c>
      <c r="J130">
        <v>37691</v>
      </c>
      <c r="K130">
        <v>224</v>
      </c>
      <c r="L130" s="14">
        <v>7.9993453221219799E-2</v>
      </c>
      <c r="M130" t="s">
        <v>21</v>
      </c>
      <c r="N130" t="s">
        <v>376</v>
      </c>
      <c r="O130" t="s">
        <v>18</v>
      </c>
    </row>
    <row r="131" spans="1:15">
      <c r="A131" t="s">
        <v>170</v>
      </c>
      <c r="B131" t="s">
        <v>31</v>
      </c>
      <c r="C131" s="7">
        <v>45301</v>
      </c>
      <c r="D131" t="s">
        <v>15</v>
      </c>
      <c r="E131" t="s">
        <v>20</v>
      </c>
      <c r="F131">
        <v>1261</v>
      </c>
      <c r="G131">
        <v>190</v>
      </c>
      <c r="H131">
        <v>233</v>
      </c>
      <c r="I131">
        <v>59888</v>
      </c>
      <c r="J131">
        <v>51449</v>
      </c>
      <c r="K131">
        <v>205</v>
      </c>
      <c r="L131" s="14">
        <v>2.8119155757413802E-2</v>
      </c>
      <c r="M131" t="s">
        <v>21</v>
      </c>
      <c r="N131" t="s">
        <v>377</v>
      </c>
      <c r="O131" t="s">
        <v>22</v>
      </c>
    </row>
    <row r="132" spans="1:15">
      <c r="A132" t="s">
        <v>171</v>
      </c>
      <c r="B132" t="s">
        <v>24</v>
      </c>
      <c r="C132" s="7">
        <v>45736</v>
      </c>
      <c r="D132" t="s">
        <v>15</v>
      </c>
      <c r="E132" t="s">
        <v>51</v>
      </c>
      <c r="F132">
        <v>1564</v>
      </c>
      <c r="G132">
        <v>362</v>
      </c>
      <c r="H132">
        <v>371</v>
      </c>
      <c r="I132">
        <v>42075</v>
      </c>
      <c r="J132">
        <v>66659</v>
      </c>
      <c r="K132">
        <v>205</v>
      </c>
      <c r="L132" s="14">
        <v>5.4592988710635802E-2</v>
      </c>
      <c r="M132" t="s">
        <v>45</v>
      </c>
      <c r="N132" t="s">
        <v>375</v>
      </c>
      <c r="O132" t="s">
        <v>22</v>
      </c>
    </row>
    <row r="133" spans="1:15">
      <c r="A133" t="s">
        <v>172</v>
      </c>
      <c r="B133" t="s">
        <v>24</v>
      </c>
      <c r="C133" s="7">
        <v>45563</v>
      </c>
      <c r="D133" t="s">
        <v>15</v>
      </c>
      <c r="E133" t="s">
        <v>35</v>
      </c>
      <c r="F133">
        <v>4006</v>
      </c>
      <c r="G133">
        <v>420</v>
      </c>
      <c r="H133">
        <v>194</v>
      </c>
      <c r="I133">
        <v>49964</v>
      </c>
      <c r="J133">
        <v>20685</v>
      </c>
      <c r="K133">
        <v>148</v>
      </c>
      <c r="L133" s="14">
        <v>9.2466575934673001E-2</v>
      </c>
      <c r="M133" t="s">
        <v>42</v>
      </c>
      <c r="N133" t="s">
        <v>375</v>
      </c>
      <c r="O133" t="s">
        <v>18</v>
      </c>
    </row>
    <row r="134" spans="1:15">
      <c r="A134" t="s">
        <v>173</v>
      </c>
      <c r="B134" t="s">
        <v>31</v>
      </c>
      <c r="C134" s="7">
        <v>45318</v>
      </c>
      <c r="D134" t="s">
        <v>15</v>
      </c>
      <c r="E134" t="s">
        <v>51</v>
      </c>
      <c r="F134">
        <v>1976</v>
      </c>
      <c r="G134">
        <v>262</v>
      </c>
      <c r="H134">
        <v>218</v>
      </c>
      <c r="I134">
        <v>51696</v>
      </c>
      <c r="J134">
        <v>44846</v>
      </c>
      <c r="K134">
        <v>139</v>
      </c>
      <c r="L134" s="14">
        <v>4.7508511296812099E-2</v>
      </c>
      <c r="M134" t="s">
        <v>21</v>
      </c>
      <c r="N134" t="s">
        <v>377</v>
      </c>
      <c r="O134" t="s">
        <v>22</v>
      </c>
    </row>
    <row r="135" spans="1:15">
      <c r="A135" t="s">
        <v>174</v>
      </c>
      <c r="B135" t="s">
        <v>24</v>
      </c>
      <c r="C135" s="7">
        <v>45792</v>
      </c>
      <c r="D135" t="s">
        <v>15</v>
      </c>
      <c r="E135" t="s">
        <v>26</v>
      </c>
      <c r="F135">
        <v>1583</v>
      </c>
      <c r="G135">
        <v>433</v>
      </c>
      <c r="H135">
        <v>249</v>
      </c>
      <c r="I135">
        <v>30256</v>
      </c>
      <c r="J135">
        <v>47066</v>
      </c>
      <c r="K135">
        <v>196</v>
      </c>
      <c r="L135" s="14">
        <v>7.4861184558434699E-2</v>
      </c>
      <c r="M135" t="s">
        <v>42</v>
      </c>
      <c r="N135" t="s">
        <v>375</v>
      </c>
      <c r="O135" t="s">
        <v>18</v>
      </c>
    </row>
    <row r="136" spans="1:15">
      <c r="A136" t="s">
        <v>175</v>
      </c>
      <c r="B136" t="s">
        <v>24</v>
      </c>
      <c r="C136" s="7">
        <v>45569</v>
      </c>
      <c r="D136" t="s">
        <v>25</v>
      </c>
      <c r="E136" t="s">
        <v>20</v>
      </c>
      <c r="F136">
        <v>2870</v>
      </c>
      <c r="G136">
        <v>380</v>
      </c>
      <c r="H136">
        <v>393</v>
      </c>
      <c r="I136">
        <v>37621</v>
      </c>
      <c r="J136">
        <v>71794</v>
      </c>
      <c r="K136">
        <v>127</v>
      </c>
      <c r="L136" s="14">
        <v>9.6834214933149004E-2</v>
      </c>
      <c r="M136" t="s">
        <v>376</v>
      </c>
      <c r="N136" t="s">
        <v>42</v>
      </c>
      <c r="O136" t="s">
        <v>18</v>
      </c>
    </row>
    <row r="137" spans="1:15">
      <c r="A137" t="s">
        <v>176</v>
      </c>
      <c r="B137" t="s">
        <v>24</v>
      </c>
      <c r="C137" s="7">
        <v>45615</v>
      </c>
      <c r="D137" t="s">
        <v>15</v>
      </c>
      <c r="E137" t="s">
        <v>41</v>
      </c>
      <c r="F137">
        <v>3728</v>
      </c>
      <c r="G137">
        <v>271</v>
      </c>
      <c r="H137">
        <v>275</v>
      </c>
      <c r="I137">
        <v>22827</v>
      </c>
      <c r="J137">
        <v>37034</v>
      </c>
      <c r="K137">
        <v>199</v>
      </c>
      <c r="L137" s="14">
        <v>0.18723441538528901</v>
      </c>
      <c r="M137" t="s">
        <v>42</v>
      </c>
      <c r="N137" t="s">
        <v>375</v>
      </c>
      <c r="O137" t="s">
        <v>18</v>
      </c>
    </row>
    <row r="138" spans="1:15">
      <c r="A138" t="s">
        <v>177</v>
      </c>
      <c r="B138" t="s">
        <v>24</v>
      </c>
      <c r="C138" s="7">
        <v>45387</v>
      </c>
      <c r="D138" t="s">
        <v>25</v>
      </c>
      <c r="E138" t="s">
        <v>26</v>
      </c>
      <c r="F138">
        <v>4965</v>
      </c>
      <c r="G138">
        <v>175</v>
      </c>
      <c r="H138">
        <v>307</v>
      </c>
      <c r="I138">
        <v>32793</v>
      </c>
      <c r="J138">
        <v>43412</v>
      </c>
      <c r="K138">
        <v>296</v>
      </c>
      <c r="L138" s="14">
        <v>0.16610252187966901</v>
      </c>
      <c r="M138" t="s">
        <v>45</v>
      </c>
      <c r="N138" t="s">
        <v>42</v>
      </c>
      <c r="O138" t="s">
        <v>18</v>
      </c>
    </row>
    <row r="139" spans="1:15">
      <c r="A139" t="s">
        <v>178</v>
      </c>
      <c r="B139" t="s">
        <v>24</v>
      </c>
      <c r="C139" s="7">
        <v>45624</v>
      </c>
      <c r="D139" t="s">
        <v>25</v>
      </c>
      <c r="E139" t="s">
        <v>26</v>
      </c>
      <c r="F139">
        <v>1131</v>
      </c>
      <c r="G139">
        <v>100</v>
      </c>
      <c r="H139">
        <v>116</v>
      </c>
      <c r="I139">
        <v>48437</v>
      </c>
      <c r="J139">
        <v>72704</v>
      </c>
      <c r="K139">
        <v>236</v>
      </c>
      <c r="L139" s="14">
        <v>2.78093193220059E-2</v>
      </c>
      <c r="M139" t="s">
        <v>21</v>
      </c>
      <c r="N139" t="s">
        <v>376</v>
      </c>
      <c r="O139" t="s">
        <v>18</v>
      </c>
    </row>
    <row r="140" spans="1:15">
      <c r="A140" t="s">
        <v>179</v>
      </c>
      <c r="B140" t="s">
        <v>24</v>
      </c>
      <c r="C140" s="7">
        <v>45725</v>
      </c>
      <c r="D140" t="s">
        <v>15</v>
      </c>
      <c r="E140" t="s">
        <v>51</v>
      </c>
      <c r="F140">
        <v>2754</v>
      </c>
      <c r="G140">
        <v>215</v>
      </c>
      <c r="H140">
        <v>264</v>
      </c>
      <c r="I140">
        <v>27762</v>
      </c>
      <c r="J140">
        <v>70203</v>
      </c>
      <c r="K140">
        <v>289</v>
      </c>
      <c r="L140" s="14">
        <v>0.116454145954902</v>
      </c>
      <c r="M140" t="s">
        <v>42</v>
      </c>
      <c r="N140" t="s">
        <v>375</v>
      </c>
      <c r="O140" t="s">
        <v>18</v>
      </c>
    </row>
    <row r="141" spans="1:15">
      <c r="A141" t="s">
        <v>180</v>
      </c>
      <c r="B141" t="s">
        <v>24</v>
      </c>
      <c r="C141" s="7">
        <v>45531</v>
      </c>
      <c r="D141" t="s">
        <v>25</v>
      </c>
      <c r="E141" t="s">
        <v>26</v>
      </c>
      <c r="F141">
        <v>1856</v>
      </c>
      <c r="G141">
        <v>357</v>
      </c>
      <c r="H141">
        <v>348</v>
      </c>
      <c r="I141">
        <v>29428</v>
      </c>
      <c r="J141">
        <v>70206</v>
      </c>
      <c r="K141">
        <v>236</v>
      </c>
      <c r="L141" s="14">
        <v>8.7025961669158602E-2</v>
      </c>
      <c r="M141" t="s">
        <v>376</v>
      </c>
      <c r="N141" t="s">
        <v>42</v>
      </c>
      <c r="O141" t="s">
        <v>18</v>
      </c>
    </row>
    <row r="142" spans="1:15">
      <c r="A142" t="s">
        <v>181</v>
      </c>
      <c r="B142" t="s">
        <v>31</v>
      </c>
      <c r="C142" s="7">
        <v>45566</v>
      </c>
      <c r="D142" t="s">
        <v>57</v>
      </c>
      <c r="E142" t="s">
        <v>20</v>
      </c>
      <c r="F142">
        <v>3543</v>
      </c>
      <c r="G142">
        <v>334</v>
      </c>
      <c r="H142">
        <v>218</v>
      </c>
      <c r="I142">
        <v>58007</v>
      </c>
      <c r="J142">
        <v>24792</v>
      </c>
      <c r="K142">
        <v>273</v>
      </c>
      <c r="L142" s="14">
        <v>7.0594928198320903E-2</v>
      </c>
      <c r="M142" t="s">
        <v>21</v>
      </c>
      <c r="N142" t="s">
        <v>45</v>
      </c>
      <c r="O142" t="s">
        <v>59</v>
      </c>
    </row>
    <row r="143" spans="1:15">
      <c r="A143" t="s">
        <v>182</v>
      </c>
      <c r="B143" t="s">
        <v>14</v>
      </c>
      <c r="C143" s="7">
        <v>45647</v>
      </c>
      <c r="D143" t="s">
        <v>25</v>
      </c>
      <c r="E143" t="s">
        <v>26</v>
      </c>
      <c r="F143">
        <v>4563</v>
      </c>
      <c r="G143">
        <v>398</v>
      </c>
      <c r="H143">
        <v>163</v>
      </c>
      <c r="I143">
        <v>43679</v>
      </c>
      <c r="J143">
        <v>48760</v>
      </c>
      <c r="K143">
        <v>92</v>
      </c>
      <c r="L143" s="14">
        <v>0.11731037798484401</v>
      </c>
      <c r="M143" t="s">
        <v>42</v>
      </c>
      <c r="N143" t="s">
        <v>375</v>
      </c>
      <c r="O143" t="s">
        <v>55</v>
      </c>
    </row>
    <row r="144" spans="1:15">
      <c r="A144" t="s">
        <v>183</v>
      </c>
      <c r="B144" t="s">
        <v>14</v>
      </c>
      <c r="C144" s="7">
        <v>45460</v>
      </c>
      <c r="D144" t="s">
        <v>15</v>
      </c>
      <c r="E144" t="s">
        <v>16</v>
      </c>
      <c r="F144">
        <v>4283</v>
      </c>
      <c r="G144">
        <v>471</v>
      </c>
      <c r="H144">
        <v>156</v>
      </c>
      <c r="I144">
        <v>53004</v>
      </c>
      <c r="J144">
        <v>25678</v>
      </c>
      <c r="K144">
        <v>105</v>
      </c>
      <c r="L144" s="14">
        <v>9.2634518149573603E-2</v>
      </c>
      <c r="M144" t="s">
        <v>21</v>
      </c>
      <c r="N144" t="s">
        <v>375</v>
      </c>
      <c r="O144" t="s">
        <v>22</v>
      </c>
    </row>
    <row r="145" spans="1:15">
      <c r="A145" t="s">
        <v>184</v>
      </c>
      <c r="B145" t="s">
        <v>14</v>
      </c>
      <c r="C145" s="7">
        <v>45702</v>
      </c>
      <c r="D145" t="s">
        <v>15</v>
      </c>
      <c r="E145" t="s">
        <v>16</v>
      </c>
      <c r="F145">
        <v>2329</v>
      </c>
      <c r="G145">
        <v>373</v>
      </c>
      <c r="H145">
        <v>291</v>
      </c>
      <c r="I145">
        <v>49577</v>
      </c>
      <c r="J145">
        <v>28002</v>
      </c>
      <c r="K145">
        <v>82</v>
      </c>
      <c r="L145" s="14">
        <v>6.0370736430199502E-2</v>
      </c>
      <c r="M145" t="s">
        <v>45</v>
      </c>
      <c r="N145" t="s">
        <v>42</v>
      </c>
      <c r="O145" t="s">
        <v>18</v>
      </c>
    </row>
    <row r="146" spans="1:15">
      <c r="A146" t="s">
        <v>185</v>
      </c>
      <c r="B146" t="s">
        <v>24</v>
      </c>
      <c r="C146" s="7">
        <v>45805</v>
      </c>
      <c r="D146" t="s">
        <v>25</v>
      </c>
      <c r="E146" t="s">
        <v>41</v>
      </c>
      <c r="F146">
        <v>4287</v>
      </c>
      <c r="G146">
        <v>273</v>
      </c>
      <c r="H146">
        <v>122</v>
      </c>
      <c r="I146">
        <v>40792</v>
      </c>
      <c r="J146">
        <v>23878</v>
      </c>
      <c r="K146">
        <v>277</v>
      </c>
      <c r="L146" s="14">
        <v>0.114777407334772</v>
      </c>
      <c r="M146" t="s">
        <v>376</v>
      </c>
      <c r="N146" t="s">
        <v>42</v>
      </c>
      <c r="O146" t="s">
        <v>18</v>
      </c>
    </row>
    <row r="147" spans="1:15">
      <c r="A147" t="s">
        <v>186</v>
      </c>
      <c r="B147" t="s">
        <v>14</v>
      </c>
      <c r="C147" s="7">
        <v>45799</v>
      </c>
      <c r="D147" t="s">
        <v>15</v>
      </c>
      <c r="E147" t="s">
        <v>16</v>
      </c>
      <c r="F147">
        <v>2633</v>
      </c>
      <c r="G147">
        <v>318</v>
      </c>
      <c r="H147">
        <v>380</v>
      </c>
      <c r="I147">
        <v>40869</v>
      </c>
      <c r="J147">
        <v>64474</v>
      </c>
      <c r="K147">
        <v>245</v>
      </c>
      <c r="L147" s="14">
        <v>8.1504318676747706E-2</v>
      </c>
      <c r="M147" t="s">
        <v>21</v>
      </c>
      <c r="N147" t="s">
        <v>375</v>
      </c>
      <c r="O147" t="s">
        <v>22</v>
      </c>
    </row>
    <row r="148" spans="1:15">
      <c r="A148" t="s">
        <v>187</v>
      </c>
      <c r="B148" t="s">
        <v>24</v>
      </c>
      <c r="C148" s="7">
        <v>45312</v>
      </c>
      <c r="D148" t="s">
        <v>25</v>
      </c>
      <c r="E148" t="s">
        <v>16</v>
      </c>
      <c r="F148">
        <v>2383</v>
      </c>
      <c r="G148">
        <v>136</v>
      </c>
      <c r="H148">
        <v>302</v>
      </c>
      <c r="I148">
        <v>39187</v>
      </c>
      <c r="J148">
        <v>22133</v>
      </c>
      <c r="K148">
        <v>208</v>
      </c>
      <c r="L148" s="14">
        <v>7.1988159338556207E-2</v>
      </c>
      <c r="M148" t="s">
        <v>376</v>
      </c>
      <c r="N148" t="s">
        <v>42</v>
      </c>
      <c r="O148" t="s">
        <v>18</v>
      </c>
    </row>
    <row r="149" spans="1:15">
      <c r="A149" t="s">
        <v>188</v>
      </c>
      <c r="B149" t="s">
        <v>24</v>
      </c>
      <c r="C149" s="7">
        <v>45696</v>
      </c>
      <c r="D149" t="s">
        <v>25</v>
      </c>
      <c r="E149" t="s">
        <v>51</v>
      </c>
      <c r="F149">
        <v>4752</v>
      </c>
      <c r="G149">
        <v>334</v>
      </c>
      <c r="H149">
        <v>56</v>
      </c>
      <c r="I149">
        <v>48017</v>
      </c>
      <c r="J149">
        <v>55534</v>
      </c>
      <c r="K149">
        <v>270</v>
      </c>
      <c r="L149" s="14">
        <v>0.107087073328196</v>
      </c>
      <c r="M149" t="s">
        <v>21</v>
      </c>
      <c r="N149" t="s">
        <v>376</v>
      </c>
      <c r="O149" t="s">
        <v>18</v>
      </c>
    </row>
    <row r="150" spans="1:15">
      <c r="A150" t="s">
        <v>189</v>
      </c>
      <c r="B150" t="s">
        <v>24</v>
      </c>
      <c r="C150" s="7">
        <v>45760</v>
      </c>
      <c r="D150" t="s">
        <v>15</v>
      </c>
      <c r="E150" t="s">
        <v>49</v>
      </c>
      <c r="F150">
        <v>3890</v>
      </c>
      <c r="G150">
        <v>408</v>
      </c>
      <c r="H150">
        <v>338</v>
      </c>
      <c r="I150">
        <v>56994</v>
      </c>
      <c r="J150">
        <v>32621</v>
      </c>
      <c r="K150">
        <v>286</v>
      </c>
      <c r="L150" s="14">
        <v>8.1341895638137401E-2</v>
      </c>
      <c r="M150" t="s">
        <v>45</v>
      </c>
      <c r="N150" t="s">
        <v>375</v>
      </c>
      <c r="O150" t="s">
        <v>22</v>
      </c>
    </row>
    <row r="151" spans="1:15">
      <c r="A151" t="s">
        <v>190</v>
      </c>
      <c r="B151" t="s">
        <v>24</v>
      </c>
      <c r="C151" s="7">
        <v>45442</v>
      </c>
      <c r="D151" t="s">
        <v>25</v>
      </c>
      <c r="E151" t="s">
        <v>51</v>
      </c>
      <c r="F151">
        <v>2311</v>
      </c>
      <c r="G151">
        <v>207</v>
      </c>
      <c r="H151">
        <v>363</v>
      </c>
      <c r="I151">
        <v>30349</v>
      </c>
      <c r="J151">
        <v>32925</v>
      </c>
      <c r="K151">
        <v>88</v>
      </c>
      <c r="L151" s="14">
        <v>9.4928992718046695E-2</v>
      </c>
      <c r="M151" t="s">
        <v>376</v>
      </c>
      <c r="N151" t="s">
        <v>42</v>
      </c>
      <c r="O151" t="s">
        <v>18</v>
      </c>
    </row>
    <row r="152" spans="1:15">
      <c r="A152" t="s">
        <v>191</v>
      </c>
      <c r="B152" t="s">
        <v>14</v>
      </c>
      <c r="C152" s="7">
        <v>45516</v>
      </c>
      <c r="D152" t="s">
        <v>25</v>
      </c>
      <c r="E152" t="s">
        <v>16</v>
      </c>
      <c r="F152">
        <v>2962</v>
      </c>
      <c r="G152">
        <v>400</v>
      </c>
      <c r="H152">
        <v>280</v>
      </c>
      <c r="I152">
        <v>52508</v>
      </c>
      <c r="J152">
        <v>58329</v>
      </c>
      <c r="K152">
        <v>219</v>
      </c>
      <c r="L152" s="14">
        <v>6.9360859297630806E-2</v>
      </c>
      <c r="M152" t="s">
        <v>42</v>
      </c>
      <c r="N152" t="s">
        <v>375</v>
      </c>
      <c r="O152" t="s">
        <v>55</v>
      </c>
    </row>
    <row r="153" spans="1:15">
      <c r="A153" t="s">
        <v>192</v>
      </c>
      <c r="B153" t="s">
        <v>14</v>
      </c>
      <c r="C153" s="7">
        <v>45562</v>
      </c>
      <c r="D153" t="s">
        <v>15</v>
      </c>
      <c r="E153" t="s">
        <v>16</v>
      </c>
      <c r="F153">
        <v>3118</v>
      </c>
      <c r="G153">
        <v>116</v>
      </c>
      <c r="H153">
        <v>195</v>
      </c>
      <c r="I153">
        <v>37100</v>
      </c>
      <c r="J153">
        <v>62629</v>
      </c>
      <c r="K153">
        <v>272</v>
      </c>
      <c r="L153" s="14">
        <v>9.2425876010781699E-2</v>
      </c>
      <c r="M153" t="s">
        <v>21</v>
      </c>
      <c r="N153" t="s">
        <v>375</v>
      </c>
      <c r="O153" t="s">
        <v>22</v>
      </c>
    </row>
    <row r="154" spans="1:15">
      <c r="A154" t="s">
        <v>193</v>
      </c>
      <c r="B154" t="s">
        <v>24</v>
      </c>
      <c r="C154" s="7">
        <v>45819</v>
      </c>
      <c r="D154" t="s">
        <v>25</v>
      </c>
      <c r="E154" t="s">
        <v>20</v>
      </c>
      <c r="F154">
        <v>3805</v>
      </c>
      <c r="G154">
        <v>453</v>
      </c>
      <c r="H154">
        <v>63</v>
      </c>
      <c r="I154">
        <v>52395</v>
      </c>
      <c r="J154">
        <v>72934</v>
      </c>
      <c r="K154">
        <v>87</v>
      </c>
      <c r="L154" s="14">
        <v>8.2469701307376603E-2</v>
      </c>
      <c r="M154" t="s">
        <v>21</v>
      </c>
      <c r="N154" t="s">
        <v>376</v>
      </c>
      <c r="O154" t="s">
        <v>18</v>
      </c>
    </row>
    <row r="155" spans="1:15">
      <c r="A155" t="s">
        <v>194</v>
      </c>
      <c r="B155" t="s">
        <v>14</v>
      </c>
      <c r="C155" s="7">
        <v>45615</v>
      </c>
      <c r="D155" t="s">
        <v>15</v>
      </c>
      <c r="E155" t="s">
        <v>35</v>
      </c>
      <c r="F155">
        <v>2525</v>
      </c>
      <c r="G155">
        <v>272</v>
      </c>
      <c r="H155">
        <v>294</v>
      </c>
      <c r="I155">
        <v>51875</v>
      </c>
      <c r="J155">
        <v>24732</v>
      </c>
      <c r="K155">
        <v>92</v>
      </c>
      <c r="L155" s="14">
        <v>5.9585542168674697E-2</v>
      </c>
      <c r="M155" t="s">
        <v>21</v>
      </c>
      <c r="N155" t="s">
        <v>375</v>
      </c>
      <c r="O155" t="s">
        <v>22</v>
      </c>
    </row>
    <row r="156" spans="1:15">
      <c r="A156" t="s">
        <v>195</v>
      </c>
      <c r="B156" t="s">
        <v>14</v>
      </c>
      <c r="C156" s="7">
        <v>45407</v>
      </c>
      <c r="D156" t="s">
        <v>15</v>
      </c>
      <c r="E156" t="s">
        <v>32</v>
      </c>
      <c r="F156">
        <v>3563</v>
      </c>
      <c r="G156">
        <v>483</v>
      </c>
      <c r="H156">
        <v>227</v>
      </c>
      <c r="I156">
        <v>41085</v>
      </c>
      <c r="J156">
        <v>26393</v>
      </c>
      <c r="K156">
        <v>236</v>
      </c>
      <c r="L156" s="14">
        <v>0.10400389436533999</v>
      </c>
      <c r="M156" t="s">
        <v>45</v>
      </c>
      <c r="N156" t="s">
        <v>42</v>
      </c>
      <c r="O156" t="s">
        <v>18</v>
      </c>
    </row>
    <row r="157" spans="1:15">
      <c r="A157" t="s">
        <v>196</v>
      </c>
      <c r="B157" t="s">
        <v>31</v>
      </c>
      <c r="C157" s="7">
        <v>45538</v>
      </c>
      <c r="D157" t="s">
        <v>57</v>
      </c>
      <c r="E157" t="s">
        <v>35</v>
      </c>
      <c r="F157">
        <v>1437</v>
      </c>
      <c r="G157">
        <v>494</v>
      </c>
      <c r="H157">
        <v>129</v>
      </c>
      <c r="I157">
        <v>53048</v>
      </c>
      <c r="J157">
        <v>44090</v>
      </c>
      <c r="K157">
        <v>230</v>
      </c>
      <c r="L157" s="14">
        <v>3.8832755240536899E-2</v>
      </c>
      <c r="M157" t="s">
        <v>21</v>
      </c>
      <c r="N157" t="s">
        <v>45</v>
      </c>
      <c r="O157" t="s">
        <v>59</v>
      </c>
    </row>
    <row r="158" spans="1:15">
      <c r="A158" t="s">
        <v>197</v>
      </c>
      <c r="B158" t="s">
        <v>31</v>
      </c>
      <c r="C158" s="7">
        <v>45718</v>
      </c>
      <c r="D158" t="s">
        <v>15</v>
      </c>
      <c r="E158" t="s">
        <v>49</v>
      </c>
      <c r="F158">
        <v>4425</v>
      </c>
      <c r="G158">
        <v>185</v>
      </c>
      <c r="H158">
        <v>162</v>
      </c>
      <c r="I158">
        <v>24610</v>
      </c>
      <c r="J158">
        <v>21342</v>
      </c>
      <c r="K158">
        <v>158</v>
      </c>
      <c r="L158" s="14">
        <v>0.19390491670052801</v>
      </c>
      <c r="M158" t="s">
        <v>21</v>
      </c>
      <c r="N158" t="s">
        <v>377</v>
      </c>
      <c r="O158" t="s">
        <v>22</v>
      </c>
    </row>
    <row r="159" spans="1:15">
      <c r="A159" t="s">
        <v>198</v>
      </c>
      <c r="B159" t="s">
        <v>24</v>
      </c>
      <c r="C159" s="7">
        <v>45737</v>
      </c>
      <c r="D159" t="s">
        <v>25</v>
      </c>
      <c r="E159" t="s">
        <v>26</v>
      </c>
      <c r="F159">
        <v>4609</v>
      </c>
      <c r="G159">
        <v>427</v>
      </c>
      <c r="H159">
        <v>395</v>
      </c>
      <c r="I159">
        <v>33698</v>
      </c>
      <c r="J159">
        <v>29259</v>
      </c>
      <c r="K159">
        <v>216</v>
      </c>
      <c r="L159" s="14">
        <v>0.16116683482699301</v>
      </c>
      <c r="M159" t="s">
        <v>21</v>
      </c>
      <c r="N159" t="s">
        <v>376</v>
      </c>
      <c r="O159" t="s">
        <v>18</v>
      </c>
    </row>
    <row r="160" spans="1:15">
      <c r="A160" t="s">
        <v>199</v>
      </c>
      <c r="B160" t="s">
        <v>14</v>
      </c>
      <c r="C160" s="7">
        <v>45394</v>
      </c>
      <c r="D160" t="s">
        <v>25</v>
      </c>
      <c r="E160" t="s">
        <v>37</v>
      </c>
      <c r="F160">
        <v>1558</v>
      </c>
      <c r="G160">
        <v>352</v>
      </c>
      <c r="H160">
        <v>202</v>
      </c>
      <c r="I160">
        <v>25405</v>
      </c>
      <c r="J160">
        <v>69941</v>
      </c>
      <c r="K160">
        <v>219</v>
      </c>
      <c r="L160" s="14">
        <v>8.3133241487896095E-2</v>
      </c>
      <c r="M160" t="s">
        <v>42</v>
      </c>
      <c r="N160" t="s">
        <v>375</v>
      </c>
      <c r="O160" t="s">
        <v>55</v>
      </c>
    </row>
    <row r="161" spans="1:15">
      <c r="A161" t="s">
        <v>200</v>
      </c>
      <c r="B161" t="s">
        <v>31</v>
      </c>
      <c r="C161" s="7">
        <v>45330</v>
      </c>
      <c r="D161" t="s">
        <v>57</v>
      </c>
      <c r="E161" t="s">
        <v>41</v>
      </c>
      <c r="F161">
        <v>1889</v>
      </c>
      <c r="G161">
        <v>298</v>
      </c>
      <c r="H161">
        <v>122</v>
      </c>
      <c r="I161">
        <v>46225</v>
      </c>
      <c r="J161">
        <v>74305</v>
      </c>
      <c r="K161">
        <v>293</v>
      </c>
      <c r="L161" s="14">
        <v>4.9951325040562503E-2</v>
      </c>
      <c r="M161" t="s">
        <v>21</v>
      </c>
      <c r="N161" t="s">
        <v>45</v>
      </c>
      <c r="O161" t="s">
        <v>59</v>
      </c>
    </row>
    <row r="162" spans="1:15">
      <c r="A162" t="s">
        <v>201</v>
      </c>
      <c r="B162" t="s">
        <v>14</v>
      </c>
      <c r="C162" s="7">
        <v>45803</v>
      </c>
      <c r="D162" t="s">
        <v>15</v>
      </c>
      <c r="E162" t="s">
        <v>16</v>
      </c>
      <c r="F162">
        <v>3086</v>
      </c>
      <c r="G162">
        <v>148</v>
      </c>
      <c r="H162">
        <v>310</v>
      </c>
      <c r="I162">
        <v>22824</v>
      </c>
      <c r="J162">
        <v>58103</v>
      </c>
      <c r="K162">
        <v>275</v>
      </c>
      <c r="L162" s="14">
        <v>0.155275148966001</v>
      </c>
      <c r="M162" t="s">
        <v>21</v>
      </c>
      <c r="N162" t="s">
        <v>375</v>
      </c>
      <c r="O162" t="s">
        <v>22</v>
      </c>
    </row>
    <row r="163" spans="1:15">
      <c r="A163" t="s">
        <v>202</v>
      </c>
      <c r="B163" t="s">
        <v>14</v>
      </c>
      <c r="C163" s="7">
        <v>45610</v>
      </c>
      <c r="D163" t="s">
        <v>15</v>
      </c>
      <c r="E163" t="s">
        <v>32</v>
      </c>
      <c r="F163">
        <v>2422</v>
      </c>
      <c r="G163">
        <v>318</v>
      </c>
      <c r="H163">
        <v>118</v>
      </c>
      <c r="I163">
        <v>25386</v>
      </c>
      <c r="J163">
        <v>20873</v>
      </c>
      <c r="K163">
        <v>100</v>
      </c>
      <c r="L163" s="14">
        <v>0.112581737965808</v>
      </c>
      <c r="M163" t="s">
        <v>45</v>
      </c>
      <c r="N163" t="s">
        <v>42</v>
      </c>
      <c r="O163" t="s">
        <v>18</v>
      </c>
    </row>
    <row r="164" spans="1:15">
      <c r="A164" t="s">
        <v>203</v>
      </c>
      <c r="B164" t="s">
        <v>31</v>
      </c>
      <c r="C164" s="7">
        <v>45513</v>
      </c>
      <c r="D164" t="s">
        <v>57</v>
      </c>
      <c r="E164" t="s">
        <v>49</v>
      </c>
      <c r="F164">
        <v>3414</v>
      </c>
      <c r="G164">
        <v>154</v>
      </c>
      <c r="H164">
        <v>204</v>
      </c>
      <c r="I164">
        <v>34146</v>
      </c>
      <c r="J164">
        <v>44633</v>
      </c>
      <c r="K164">
        <v>256</v>
      </c>
      <c r="L164" s="14">
        <v>0.11046681895390401</v>
      </c>
      <c r="M164" t="s">
        <v>21</v>
      </c>
      <c r="N164" t="s">
        <v>45</v>
      </c>
      <c r="O164" t="s">
        <v>59</v>
      </c>
    </row>
    <row r="165" spans="1:15">
      <c r="A165" t="s">
        <v>204</v>
      </c>
      <c r="B165" t="s">
        <v>14</v>
      </c>
      <c r="C165" s="7">
        <v>45835</v>
      </c>
      <c r="D165" t="s">
        <v>25</v>
      </c>
      <c r="E165" t="s">
        <v>35</v>
      </c>
      <c r="F165">
        <v>1342</v>
      </c>
      <c r="G165">
        <v>332</v>
      </c>
      <c r="H165">
        <v>163</v>
      </c>
      <c r="I165">
        <v>51712</v>
      </c>
      <c r="J165">
        <v>57922</v>
      </c>
      <c r="K165">
        <v>168</v>
      </c>
      <c r="L165" s="14">
        <v>3.5523669554455399E-2</v>
      </c>
      <c r="M165" t="s">
        <v>42</v>
      </c>
      <c r="N165" t="s">
        <v>375</v>
      </c>
      <c r="O165" t="s">
        <v>55</v>
      </c>
    </row>
    <row r="166" spans="1:15">
      <c r="A166" t="s">
        <v>205</v>
      </c>
      <c r="B166" t="s">
        <v>14</v>
      </c>
      <c r="C166" s="7">
        <v>45420</v>
      </c>
      <c r="D166" t="s">
        <v>25</v>
      </c>
      <c r="E166" t="s">
        <v>32</v>
      </c>
      <c r="F166">
        <v>2414</v>
      </c>
      <c r="G166">
        <v>220</v>
      </c>
      <c r="H166">
        <v>280</v>
      </c>
      <c r="I166">
        <v>27355</v>
      </c>
      <c r="J166">
        <v>50562</v>
      </c>
      <c r="K166">
        <v>258</v>
      </c>
      <c r="L166" s="14">
        <v>0.106525315298848</v>
      </c>
      <c r="M166" t="s">
        <v>42</v>
      </c>
      <c r="N166" t="s">
        <v>375</v>
      </c>
      <c r="O166" t="s">
        <v>55</v>
      </c>
    </row>
    <row r="167" spans="1:15">
      <c r="A167" t="s">
        <v>206</v>
      </c>
      <c r="B167" t="s">
        <v>14</v>
      </c>
      <c r="C167" s="7">
        <v>45387</v>
      </c>
      <c r="D167" t="s">
        <v>15</v>
      </c>
      <c r="E167" t="s">
        <v>26</v>
      </c>
      <c r="F167">
        <v>4383</v>
      </c>
      <c r="G167">
        <v>352</v>
      </c>
      <c r="H167">
        <v>176</v>
      </c>
      <c r="I167">
        <v>53239</v>
      </c>
      <c r="J167">
        <v>34168</v>
      </c>
      <c r="K167">
        <v>288</v>
      </c>
      <c r="L167" s="14">
        <v>9.2244407295403799E-2</v>
      </c>
      <c r="M167" t="s">
        <v>21</v>
      </c>
      <c r="N167" t="s">
        <v>375</v>
      </c>
      <c r="O167" t="s">
        <v>22</v>
      </c>
    </row>
    <row r="168" spans="1:15">
      <c r="A168" t="s">
        <v>207</v>
      </c>
      <c r="B168" t="s">
        <v>31</v>
      </c>
      <c r="C168" s="7">
        <v>45684</v>
      </c>
      <c r="D168" t="s">
        <v>15</v>
      </c>
      <c r="E168" t="s">
        <v>29</v>
      </c>
      <c r="F168">
        <v>4294</v>
      </c>
      <c r="G168">
        <v>423</v>
      </c>
      <c r="H168">
        <v>93</v>
      </c>
      <c r="I168">
        <v>29828</v>
      </c>
      <c r="J168">
        <v>73144</v>
      </c>
      <c r="K168">
        <v>298</v>
      </c>
      <c r="L168" s="14">
        <v>0.16125787850341999</v>
      </c>
      <c r="M168" t="s">
        <v>21</v>
      </c>
      <c r="N168" t="s">
        <v>377</v>
      </c>
      <c r="O168" t="s">
        <v>22</v>
      </c>
    </row>
    <row r="169" spans="1:15">
      <c r="A169" t="s">
        <v>208</v>
      </c>
      <c r="B169" t="s">
        <v>14</v>
      </c>
      <c r="C169" s="7">
        <v>45385</v>
      </c>
      <c r="D169" t="s">
        <v>15</v>
      </c>
      <c r="E169" t="s">
        <v>41</v>
      </c>
      <c r="F169">
        <v>2762</v>
      </c>
      <c r="G169">
        <v>339</v>
      </c>
      <c r="H169">
        <v>323</v>
      </c>
      <c r="I169">
        <v>33757</v>
      </c>
      <c r="J169">
        <v>68511</v>
      </c>
      <c r="K169">
        <v>121</v>
      </c>
      <c r="L169" s="14">
        <v>0.101430814349616</v>
      </c>
      <c r="M169" t="s">
        <v>45</v>
      </c>
      <c r="N169" t="s">
        <v>42</v>
      </c>
      <c r="O169" t="s">
        <v>18</v>
      </c>
    </row>
    <row r="170" spans="1:15">
      <c r="A170" t="s">
        <v>209</v>
      </c>
      <c r="B170" t="s">
        <v>31</v>
      </c>
      <c r="C170" s="7">
        <v>45660</v>
      </c>
      <c r="D170" t="s">
        <v>15</v>
      </c>
      <c r="E170" t="s">
        <v>26</v>
      </c>
      <c r="F170">
        <v>3782</v>
      </c>
      <c r="G170">
        <v>484</v>
      </c>
      <c r="H170">
        <v>144</v>
      </c>
      <c r="I170">
        <v>52172</v>
      </c>
      <c r="J170">
        <v>59386</v>
      </c>
      <c r="K170">
        <v>175</v>
      </c>
      <c r="L170" s="14">
        <v>8.4528099363643305E-2</v>
      </c>
      <c r="M170" t="s">
        <v>21</v>
      </c>
      <c r="N170" t="s">
        <v>377</v>
      </c>
      <c r="O170" t="s">
        <v>22</v>
      </c>
    </row>
    <row r="171" spans="1:15">
      <c r="A171" t="s">
        <v>210</v>
      </c>
      <c r="B171" t="s">
        <v>24</v>
      </c>
      <c r="C171" s="7">
        <v>45619</v>
      </c>
      <c r="D171" t="s">
        <v>15</v>
      </c>
      <c r="E171" t="s">
        <v>26</v>
      </c>
      <c r="F171">
        <v>4318</v>
      </c>
      <c r="G171">
        <v>371</v>
      </c>
      <c r="H171">
        <v>329</v>
      </c>
      <c r="I171">
        <v>32347</v>
      </c>
      <c r="J171">
        <v>68956</v>
      </c>
      <c r="K171">
        <v>259</v>
      </c>
      <c r="L171" s="14">
        <v>0.155130305747055</v>
      </c>
      <c r="M171" t="s">
        <v>45</v>
      </c>
      <c r="N171" t="s">
        <v>375</v>
      </c>
      <c r="O171" t="s">
        <v>22</v>
      </c>
    </row>
    <row r="172" spans="1:15">
      <c r="A172" t="s">
        <v>211</v>
      </c>
      <c r="B172" t="s">
        <v>14</v>
      </c>
      <c r="C172" s="7">
        <v>45536</v>
      </c>
      <c r="D172" t="s">
        <v>25</v>
      </c>
      <c r="E172" t="s">
        <v>29</v>
      </c>
      <c r="F172">
        <v>2335</v>
      </c>
      <c r="G172">
        <v>150</v>
      </c>
      <c r="H172">
        <v>75</v>
      </c>
      <c r="I172">
        <v>26114</v>
      </c>
      <c r="J172">
        <v>57549</v>
      </c>
      <c r="K172">
        <v>135</v>
      </c>
      <c r="L172" s="14">
        <v>9.8031707130274995E-2</v>
      </c>
      <c r="M172" t="s">
        <v>42</v>
      </c>
      <c r="N172" t="s">
        <v>375</v>
      </c>
      <c r="O172" t="s">
        <v>55</v>
      </c>
    </row>
    <row r="173" spans="1:15">
      <c r="A173" t="s">
        <v>212</v>
      </c>
      <c r="B173" t="s">
        <v>31</v>
      </c>
      <c r="C173" s="7">
        <v>45400</v>
      </c>
      <c r="D173" t="s">
        <v>15</v>
      </c>
      <c r="E173" t="s">
        <v>20</v>
      </c>
      <c r="F173">
        <v>4023</v>
      </c>
      <c r="G173">
        <v>293</v>
      </c>
      <c r="H173">
        <v>91</v>
      </c>
      <c r="I173">
        <v>26795</v>
      </c>
      <c r="J173">
        <v>28924</v>
      </c>
      <c r="K173">
        <v>278</v>
      </c>
      <c r="L173" s="14">
        <v>0.164470983392424</v>
      </c>
      <c r="M173" t="s">
        <v>21</v>
      </c>
      <c r="N173" t="s">
        <v>377</v>
      </c>
      <c r="O173" t="s">
        <v>22</v>
      </c>
    </row>
    <row r="174" spans="1:15">
      <c r="A174" t="s">
        <v>213</v>
      </c>
      <c r="B174" t="s">
        <v>14</v>
      </c>
      <c r="C174" s="7">
        <v>45447</v>
      </c>
      <c r="D174" t="s">
        <v>15</v>
      </c>
      <c r="E174" t="s">
        <v>37</v>
      </c>
      <c r="F174">
        <v>3948</v>
      </c>
      <c r="G174">
        <v>151</v>
      </c>
      <c r="H174">
        <v>249</v>
      </c>
      <c r="I174">
        <v>43147</v>
      </c>
      <c r="J174">
        <v>63136</v>
      </c>
      <c r="K174">
        <v>230</v>
      </c>
      <c r="L174" s="14">
        <v>0.100771780193293</v>
      </c>
      <c r="M174" t="s">
        <v>21</v>
      </c>
      <c r="N174" t="s">
        <v>375</v>
      </c>
      <c r="O174" t="s">
        <v>22</v>
      </c>
    </row>
    <row r="175" spans="1:15">
      <c r="A175" t="s">
        <v>214</v>
      </c>
      <c r="B175" t="s">
        <v>31</v>
      </c>
      <c r="C175" s="7">
        <v>45749</v>
      </c>
      <c r="D175" t="s">
        <v>15</v>
      </c>
      <c r="E175" t="s">
        <v>29</v>
      </c>
      <c r="F175">
        <v>4598</v>
      </c>
      <c r="G175">
        <v>455</v>
      </c>
      <c r="H175">
        <v>378</v>
      </c>
      <c r="I175">
        <v>52952</v>
      </c>
      <c r="J175">
        <v>58504</v>
      </c>
      <c r="K175">
        <v>269</v>
      </c>
      <c r="L175" s="14">
        <v>0.102564586795588</v>
      </c>
      <c r="M175" t="s">
        <v>21</v>
      </c>
      <c r="N175" t="s">
        <v>377</v>
      </c>
      <c r="O175" t="s">
        <v>22</v>
      </c>
    </row>
    <row r="176" spans="1:15">
      <c r="A176" t="s">
        <v>215</v>
      </c>
      <c r="B176" t="s">
        <v>24</v>
      </c>
      <c r="C176" s="7">
        <v>45748</v>
      </c>
      <c r="D176" t="s">
        <v>25</v>
      </c>
      <c r="E176" t="s">
        <v>32</v>
      </c>
      <c r="F176">
        <v>2665</v>
      </c>
      <c r="G176">
        <v>143</v>
      </c>
      <c r="H176">
        <v>315</v>
      </c>
      <c r="I176">
        <v>54808</v>
      </c>
      <c r="J176">
        <v>29818</v>
      </c>
      <c r="K176">
        <v>98</v>
      </c>
      <c r="L176" s="14">
        <v>5.6980732739746E-2</v>
      </c>
      <c r="M176" t="s">
        <v>21</v>
      </c>
      <c r="N176" t="s">
        <v>376</v>
      </c>
      <c r="O176" t="s">
        <v>18</v>
      </c>
    </row>
    <row r="177" spans="1:15">
      <c r="A177" t="s">
        <v>216</v>
      </c>
      <c r="B177" t="s">
        <v>14</v>
      </c>
      <c r="C177" s="7">
        <v>45475</v>
      </c>
      <c r="D177" t="s">
        <v>15</v>
      </c>
      <c r="E177" t="s">
        <v>41</v>
      </c>
      <c r="F177">
        <v>3469</v>
      </c>
      <c r="G177">
        <v>371</v>
      </c>
      <c r="H177">
        <v>76</v>
      </c>
      <c r="I177">
        <v>46493</v>
      </c>
      <c r="J177">
        <v>26906</v>
      </c>
      <c r="K177">
        <v>150</v>
      </c>
      <c r="L177" s="14">
        <v>8.4227733207149505E-2</v>
      </c>
      <c r="M177" t="s">
        <v>45</v>
      </c>
      <c r="N177" t="s">
        <v>42</v>
      </c>
      <c r="O177" t="s">
        <v>18</v>
      </c>
    </row>
    <row r="178" spans="1:15">
      <c r="A178" t="s">
        <v>217</v>
      </c>
      <c r="B178" t="s">
        <v>24</v>
      </c>
      <c r="C178" s="7">
        <v>45606</v>
      </c>
      <c r="D178" t="s">
        <v>15</v>
      </c>
      <c r="E178" t="s">
        <v>20</v>
      </c>
      <c r="F178">
        <v>4823</v>
      </c>
      <c r="G178">
        <v>489</v>
      </c>
      <c r="H178">
        <v>302</v>
      </c>
      <c r="I178">
        <v>32470</v>
      </c>
      <c r="J178">
        <v>31861</v>
      </c>
      <c r="K178">
        <v>178</v>
      </c>
      <c r="L178" s="14">
        <v>0.172898059747459</v>
      </c>
      <c r="M178" t="s">
        <v>45</v>
      </c>
      <c r="N178" t="s">
        <v>375</v>
      </c>
      <c r="O178" t="s">
        <v>22</v>
      </c>
    </row>
    <row r="179" spans="1:15">
      <c r="A179" t="s">
        <v>218</v>
      </c>
      <c r="B179" t="s">
        <v>14</v>
      </c>
      <c r="C179" s="7">
        <v>45640</v>
      </c>
      <c r="D179" t="s">
        <v>25</v>
      </c>
      <c r="E179" t="s">
        <v>49</v>
      </c>
      <c r="F179">
        <v>3812</v>
      </c>
      <c r="G179">
        <v>321</v>
      </c>
      <c r="H179">
        <v>289</v>
      </c>
      <c r="I179">
        <v>59838</v>
      </c>
      <c r="J179">
        <v>36337</v>
      </c>
      <c r="K179">
        <v>161</v>
      </c>
      <c r="L179" s="14">
        <v>7.3899528727564404E-2</v>
      </c>
      <c r="M179" t="s">
        <v>42</v>
      </c>
      <c r="N179" t="s">
        <v>375</v>
      </c>
      <c r="O179" t="s">
        <v>55</v>
      </c>
    </row>
    <row r="180" spans="1:15">
      <c r="A180" t="s">
        <v>219</v>
      </c>
      <c r="B180" t="s">
        <v>24</v>
      </c>
      <c r="C180" s="7">
        <v>45615</v>
      </c>
      <c r="D180" t="s">
        <v>15</v>
      </c>
      <c r="E180" t="s">
        <v>20</v>
      </c>
      <c r="F180">
        <v>2387</v>
      </c>
      <c r="G180">
        <v>353</v>
      </c>
      <c r="H180">
        <v>78</v>
      </c>
      <c r="I180">
        <v>39745</v>
      </c>
      <c r="J180">
        <v>69226</v>
      </c>
      <c r="K180">
        <v>208</v>
      </c>
      <c r="L180" s="14">
        <v>7.0902000251603994E-2</v>
      </c>
      <c r="M180" t="s">
        <v>45</v>
      </c>
      <c r="N180" t="s">
        <v>375</v>
      </c>
      <c r="O180" t="s">
        <v>22</v>
      </c>
    </row>
    <row r="181" spans="1:15">
      <c r="A181" t="s">
        <v>220</v>
      </c>
      <c r="B181" t="s">
        <v>24</v>
      </c>
      <c r="C181" s="7">
        <v>45777</v>
      </c>
      <c r="D181" t="s">
        <v>25</v>
      </c>
      <c r="E181" t="s">
        <v>29</v>
      </c>
      <c r="F181">
        <v>3929</v>
      </c>
      <c r="G181">
        <v>275</v>
      </c>
      <c r="H181">
        <v>330</v>
      </c>
      <c r="I181">
        <v>58329</v>
      </c>
      <c r="J181">
        <v>33196</v>
      </c>
      <c r="K181">
        <v>85</v>
      </c>
      <c r="L181" s="14">
        <v>7.7731488624869297E-2</v>
      </c>
      <c r="M181" t="s">
        <v>376</v>
      </c>
      <c r="N181" t="s">
        <v>42</v>
      </c>
      <c r="O181" t="s">
        <v>18</v>
      </c>
    </row>
    <row r="182" spans="1:15">
      <c r="A182" t="s">
        <v>221</v>
      </c>
      <c r="B182" t="s">
        <v>24</v>
      </c>
      <c r="C182" s="7">
        <v>45370</v>
      </c>
      <c r="D182" t="s">
        <v>15</v>
      </c>
      <c r="E182" t="s">
        <v>49</v>
      </c>
      <c r="F182">
        <v>2191</v>
      </c>
      <c r="G182">
        <v>288</v>
      </c>
      <c r="H182">
        <v>83</v>
      </c>
      <c r="I182">
        <v>59606</v>
      </c>
      <c r="J182">
        <v>24765</v>
      </c>
      <c r="K182">
        <v>281</v>
      </c>
      <c r="L182" s="14">
        <v>4.2982250109049401E-2</v>
      </c>
      <c r="M182" t="s">
        <v>45</v>
      </c>
      <c r="N182" t="s">
        <v>375</v>
      </c>
      <c r="O182" t="s">
        <v>22</v>
      </c>
    </row>
    <row r="183" spans="1:15">
      <c r="A183" t="s">
        <v>222</v>
      </c>
      <c r="B183" t="s">
        <v>14</v>
      </c>
      <c r="C183" s="7">
        <v>45370</v>
      </c>
      <c r="D183" t="s">
        <v>15</v>
      </c>
      <c r="E183" t="s">
        <v>49</v>
      </c>
      <c r="F183">
        <v>2878</v>
      </c>
      <c r="G183">
        <v>278</v>
      </c>
      <c r="H183">
        <v>255</v>
      </c>
      <c r="I183">
        <v>47235</v>
      </c>
      <c r="J183">
        <v>57922</v>
      </c>
      <c r="K183">
        <v>112</v>
      </c>
      <c r="L183" s="14">
        <v>7.2213401079707806E-2</v>
      </c>
      <c r="M183" t="s">
        <v>45</v>
      </c>
      <c r="N183" t="s">
        <v>42</v>
      </c>
      <c r="O183" t="s">
        <v>18</v>
      </c>
    </row>
    <row r="184" spans="1:15">
      <c r="A184" t="s">
        <v>223</v>
      </c>
      <c r="B184" t="s">
        <v>24</v>
      </c>
      <c r="C184" s="7">
        <v>45496</v>
      </c>
      <c r="D184" t="s">
        <v>15</v>
      </c>
      <c r="E184" t="s">
        <v>41</v>
      </c>
      <c r="F184">
        <v>3204</v>
      </c>
      <c r="G184">
        <v>398</v>
      </c>
      <c r="H184">
        <v>85</v>
      </c>
      <c r="I184">
        <v>22020</v>
      </c>
      <c r="J184">
        <v>58353</v>
      </c>
      <c r="K184">
        <v>286</v>
      </c>
      <c r="L184" s="14">
        <v>0.16743869209809301</v>
      </c>
      <c r="M184" t="s">
        <v>45</v>
      </c>
      <c r="N184" t="s">
        <v>375</v>
      </c>
      <c r="O184" t="s">
        <v>22</v>
      </c>
    </row>
    <row r="185" spans="1:15">
      <c r="A185" t="s">
        <v>224</v>
      </c>
      <c r="B185" t="s">
        <v>24</v>
      </c>
      <c r="C185" s="7">
        <v>45486</v>
      </c>
      <c r="D185" t="s">
        <v>25</v>
      </c>
      <c r="E185" t="s">
        <v>37</v>
      </c>
      <c r="F185">
        <v>2408</v>
      </c>
      <c r="G185">
        <v>323</v>
      </c>
      <c r="H185">
        <v>251</v>
      </c>
      <c r="I185">
        <v>47599</v>
      </c>
      <c r="J185">
        <v>35543</v>
      </c>
      <c r="K185">
        <v>287</v>
      </c>
      <c r="L185" s="14">
        <v>6.2648374965860607E-2</v>
      </c>
      <c r="M185" t="s">
        <v>376</v>
      </c>
      <c r="N185" t="s">
        <v>42</v>
      </c>
      <c r="O185" t="s">
        <v>18</v>
      </c>
    </row>
    <row r="186" spans="1:15">
      <c r="A186" t="s">
        <v>225</v>
      </c>
      <c r="B186" t="s">
        <v>31</v>
      </c>
      <c r="C186" s="7">
        <v>45769</v>
      </c>
      <c r="D186" t="s">
        <v>57</v>
      </c>
      <c r="E186" t="s">
        <v>26</v>
      </c>
      <c r="F186">
        <v>2733</v>
      </c>
      <c r="G186">
        <v>297</v>
      </c>
      <c r="H186">
        <v>235</v>
      </c>
      <c r="I186">
        <v>37980</v>
      </c>
      <c r="J186">
        <v>33058</v>
      </c>
      <c r="K186">
        <v>219</v>
      </c>
      <c r="L186" s="14">
        <v>8.5966298051606105E-2</v>
      </c>
      <c r="M186" t="s">
        <v>21</v>
      </c>
      <c r="N186" t="s">
        <v>45</v>
      </c>
      <c r="O186" t="s">
        <v>59</v>
      </c>
    </row>
    <row r="187" spans="1:15">
      <c r="A187" t="s">
        <v>226</v>
      </c>
      <c r="B187" t="s">
        <v>24</v>
      </c>
      <c r="C187" s="7">
        <v>45459</v>
      </c>
      <c r="D187" t="s">
        <v>25</v>
      </c>
      <c r="E187" t="s">
        <v>20</v>
      </c>
      <c r="F187">
        <v>4618</v>
      </c>
      <c r="G187">
        <v>312</v>
      </c>
      <c r="H187">
        <v>254</v>
      </c>
      <c r="I187">
        <v>22571</v>
      </c>
      <c r="J187">
        <v>29453</v>
      </c>
      <c r="K187">
        <v>197</v>
      </c>
      <c r="L187" s="14">
        <v>0.229675246998361</v>
      </c>
      <c r="M187" t="s">
        <v>376</v>
      </c>
      <c r="N187" t="s">
        <v>42</v>
      </c>
      <c r="O187" t="s">
        <v>18</v>
      </c>
    </row>
    <row r="188" spans="1:15">
      <c r="A188" t="s">
        <v>227</v>
      </c>
      <c r="B188" t="s">
        <v>31</v>
      </c>
      <c r="C188" s="7">
        <v>45795</v>
      </c>
      <c r="D188" t="s">
        <v>57</v>
      </c>
      <c r="E188" t="s">
        <v>29</v>
      </c>
      <c r="F188">
        <v>4210</v>
      </c>
      <c r="G188">
        <v>319</v>
      </c>
      <c r="H188">
        <v>350</v>
      </c>
      <c r="I188">
        <v>37762</v>
      </c>
      <c r="J188">
        <v>55162</v>
      </c>
      <c r="K188">
        <v>204</v>
      </c>
      <c r="L188" s="14">
        <v>0.12920396165457301</v>
      </c>
      <c r="M188" t="s">
        <v>21</v>
      </c>
      <c r="N188" t="s">
        <v>45</v>
      </c>
      <c r="O188" t="s">
        <v>59</v>
      </c>
    </row>
    <row r="189" spans="1:15">
      <c r="A189" t="s">
        <v>228</v>
      </c>
      <c r="B189" t="s">
        <v>14</v>
      </c>
      <c r="C189" s="7">
        <v>45814</v>
      </c>
      <c r="D189" t="s">
        <v>15</v>
      </c>
      <c r="E189" t="s">
        <v>29</v>
      </c>
      <c r="F189">
        <v>3987</v>
      </c>
      <c r="G189">
        <v>171</v>
      </c>
      <c r="H189">
        <v>274</v>
      </c>
      <c r="I189">
        <v>45122</v>
      </c>
      <c r="J189">
        <v>65431</v>
      </c>
      <c r="K189">
        <v>168</v>
      </c>
      <c r="L189" s="14">
        <v>9.8222596516111899E-2</v>
      </c>
      <c r="M189" t="s">
        <v>21</v>
      </c>
      <c r="N189" t="s">
        <v>375</v>
      </c>
      <c r="O189" t="s">
        <v>22</v>
      </c>
    </row>
    <row r="190" spans="1:15">
      <c r="A190" t="s">
        <v>229</v>
      </c>
      <c r="B190" t="s">
        <v>31</v>
      </c>
      <c r="C190" s="7">
        <v>45708</v>
      </c>
      <c r="D190" t="s">
        <v>57</v>
      </c>
      <c r="E190" t="s">
        <v>37</v>
      </c>
      <c r="F190">
        <v>4957</v>
      </c>
      <c r="G190">
        <v>262</v>
      </c>
      <c r="H190">
        <v>365</v>
      </c>
      <c r="I190">
        <v>49199</v>
      </c>
      <c r="J190">
        <v>40314</v>
      </c>
      <c r="K190">
        <v>216</v>
      </c>
      <c r="L190" s="14">
        <v>0.113498241834184</v>
      </c>
      <c r="M190" t="s">
        <v>21</v>
      </c>
      <c r="N190" t="s">
        <v>45</v>
      </c>
      <c r="O190" t="s">
        <v>59</v>
      </c>
    </row>
    <row r="191" spans="1:15">
      <c r="A191" t="s">
        <v>230</v>
      </c>
      <c r="B191" t="s">
        <v>14</v>
      </c>
      <c r="C191" s="7">
        <v>45673</v>
      </c>
      <c r="D191" t="s">
        <v>15</v>
      </c>
      <c r="E191" t="s">
        <v>32</v>
      </c>
      <c r="F191">
        <v>2605</v>
      </c>
      <c r="G191">
        <v>282</v>
      </c>
      <c r="H191">
        <v>148</v>
      </c>
      <c r="I191">
        <v>32201</v>
      </c>
      <c r="J191">
        <v>49583</v>
      </c>
      <c r="K191">
        <v>241</v>
      </c>
      <c r="L191" s="14">
        <v>9.4251731312692197E-2</v>
      </c>
      <c r="M191" t="s">
        <v>45</v>
      </c>
      <c r="N191" t="s">
        <v>42</v>
      </c>
      <c r="O191" t="s">
        <v>18</v>
      </c>
    </row>
    <row r="192" spans="1:15">
      <c r="A192" t="s">
        <v>231</v>
      </c>
      <c r="B192" t="s">
        <v>31</v>
      </c>
      <c r="C192" s="7">
        <v>45346</v>
      </c>
      <c r="D192" t="s">
        <v>57</v>
      </c>
      <c r="E192" t="s">
        <v>16</v>
      </c>
      <c r="F192">
        <v>4221</v>
      </c>
      <c r="G192">
        <v>307</v>
      </c>
      <c r="H192">
        <v>58</v>
      </c>
      <c r="I192">
        <v>45080</v>
      </c>
      <c r="J192">
        <v>37214</v>
      </c>
      <c r="K192">
        <v>240</v>
      </c>
      <c r="L192" s="14">
        <v>0.101730257320319</v>
      </c>
      <c r="M192" t="s">
        <v>21</v>
      </c>
      <c r="N192" t="s">
        <v>45</v>
      </c>
      <c r="O192" t="s">
        <v>59</v>
      </c>
    </row>
    <row r="193" spans="1:15">
      <c r="A193" t="s">
        <v>232</v>
      </c>
      <c r="B193" t="s">
        <v>24</v>
      </c>
      <c r="C193" s="7">
        <v>45551</v>
      </c>
      <c r="D193" t="s">
        <v>25</v>
      </c>
      <c r="E193" t="s">
        <v>35</v>
      </c>
      <c r="F193">
        <v>4422</v>
      </c>
      <c r="G193">
        <v>434</v>
      </c>
      <c r="H193">
        <v>156</v>
      </c>
      <c r="I193">
        <v>56165</v>
      </c>
      <c r="J193">
        <v>52431</v>
      </c>
      <c r="K193">
        <v>173</v>
      </c>
      <c r="L193" s="14">
        <v>8.9237069349238807E-2</v>
      </c>
      <c r="M193" t="s">
        <v>21</v>
      </c>
      <c r="N193" t="s">
        <v>376</v>
      </c>
      <c r="O193" t="s">
        <v>18</v>
      </c>
    </row>
    <row r="194" spans="1:15">
      <c r="A194" t="s">
        <v>233</v>
      </c>
      <c r="B194" t="s">
        <v>31</v>
      </c>
      <c r="C194" s="7">
        <v>45447</v>
      </c>
      <c r="D194" t="s">
        <v>57</v>
      </c>
      <c r="E194" t="s">
        <v>29</v>
      </c>
      <c r="F194">
        <v>1211</v>
      </c>
      <c r="G194">
        <v>431</v>
      </c>
      <c r="H194">
        <v>83</v>
      </c>
      <c r="I194">
        <v>26532</v>
      </c>
      <c r="J194">
        <v>47305</v>
      </c>
      <c r="K194">
        <v>232</v>
      </c>
      <c r="L194" s="14">
        <v>6.5015829941203099E-2</v>
      </c>
      <c r="M194" t="s">
        <v>21</v>
      </c>
      <c r="N194" t="s">
        <v>45</v>
      </c>
      <c r="O194" t="s">
        <v>59</v>
      </c>
    </row>
    <row r="195" spans="1:15">
      <c r="A195" t="s">
        <v>234</v>
      </c>
      <c r="B195" t="s">
        <v>24</v>
      </c>
      <c r="C195" s="7">
        <v>45422</v>
      </c>
      <c r="D195" t="s">
        <v>25</v>
      </c>
      <c r="E195" t="s">
        <v>20</v>
      </c>
      <c r="F195">
        <v>2784</v>
      </c>
      <c r="G195">
        <v>111</v>
      </c>
      <c r="H195">
        <v>399</v>
      </c>
      <c r="I195">
        <v>58366</v>
      </c>
      <c r="J195">
        <v>69512</v>
      </c>
      <c r="K195">
        <v>269</v>
      </c>
      <c r="L195" s="14">
        <v>5.6436966727204198E-2</v>
      </c>
      <c r="M195" t="s">
        <v>376</v>
      </c>
      <c r="N195" t="s">
        <v>42</v>
      </c>
      <c r="O195" t="s">
        <v>18</v>
      </c>
    </row>
    <row r="196" spans="1:15">
      <c r="A196" t="s">
        <v>235</v>
      </c>
      <c r="B196" t="s">
        <v>31</v>
      </c>
      <c r="C196" s="7">
        <v>45305</v>
      </c>
      <c r="D196" t="s">
        <v>15</v>
      </c>
      <c r="E196" t="s">
        <v>26</v>
      </c>
      <c r="F196">
        <v>3634</v>
      </c>
      <c r="G196">
        <v>280</v>
      </c>
      <c r="H196">
        <v>399</v>
      </c>
      <c r="I196">
        <v>40256</v>
      </c>
      <c r="J196">
        <v>52605</v>
      </c>
      <c r="K196">
        <v>213</v>
      </c>
      <c r="L196" s="14">
        <v>0.107139308426073</v>
      </c>
      <c r="M196" t="s">
        <v>21</v>
      </c>
      <c r="N196" t="s">
        <v>377</v>
      </c>
      <c r="O196" t="s">
        <v>22</v>
      </c>
    </row>
    <row r="197" spans="1:15">
      <c r="A197" t="s">
        <v>236</v>
      </c>
      <c r="B197" t="s">
        <v>14</v>
      </c>
      <c r="C197" s="7">
        <v>45669</v>
      </c>
      <c r="D197" t="s">
        <v>15</v>
      </c>
      <c r="E197" t="s">
        <v>49</v>
      </c>
      <c r="F197">
        <v>1771</v>
      </c>
      <c r="G197">
        <v>487</v>
      </c>
      <c r="H197">
        <v>272</v>
      </c>
      <c r="I197">
        <v>48810</v>
      </c>
      <c r="J197">
        <v>48084</v>
      </c>
      <c r="K197">
        <v>272</v>
      </c>
      <c r="L197" s="14">
        <v>5.1833640647408301E-2</v>
      </c>
      <c r="M197" t="s">
        <v>45</v>
      </c>
      <c r="N197" t="s">
        <v>42</v>
      </c>
      <c r="O197" t="s">
        <v>18</v>
      </c>
    </row>
    <row r="198" spans="1:15">
      <c r="A198" t="s">
        <v>237</v>
      </c>
      <c r="B198" t="s">
        <v>31</v>
      </c>
      <c r="C198" s="7">
        <v>45634</v>
      </c>
      <c r="D198" t="s">
        <v>15</v>
      </c>
      <c r="E198" t="s">
        <v>41</v>
      </c>
      <c r="F198">
        <v>1424</v>
      </c>
      <c r="G198">
        <v>396</v>
      </c>
      <c r="H198">
        <v>312</v>
      </c>
      <c r="I198">
        <v>59517</v>
      </c>
      <c r="J198">
        <v>46102</v>
      </c>
      <c r="K198">
        <v>239</v>
      </c>
      <c r="L198" s="14">
        <v>3.5821698002251497E-2</v>
      </c>
      <c r="M198" t="s">
        <v>21</v>
      </c>
      <c r="N198" t="s">
        <v>377</v>
      </c>
      <c r="O198" t="s">
        <v>22</v>
      </c>
    </row>
    <row r="199" spans="1:15">
      <c r="A199" t="s">
        <v>238</v>
      </c>
      <c r="B199" t="s">
        <v>24</v>
      </c>
      <c r="C199" s="7">
        <v>45689</v>
      </c>
      <c r="D199" t="s">
        <v>25</v>
      </c>
      <c r="E199" t="s">
        <v>41</v>
      </c>
      <c r="F199">
        <v>1079</v>
      </c>
      <c r="G199">
        <v>265</v>
      </c>
      <c r="H199">
        <v>190</v>
      </c>
      <c r="I199">
        <v>43786</v>
      </c>
      <c r="J199">
        <v>72428</v>
      </c>
      <c r="K199">
        <v>222</v>
      </c>
      <c r="L199" s="14">
        <v>3.5034029141734799E-2</v>
      </c>
      <c r="M199" t="s">
        <v>45</v>
      </c>
      <c r="N199" t="s">
        <v>42</v>
      </c>
      <c r="O199" t="s">
        <v>18</v>
      </c>
    </row>
    <row r="200" spans="1:15">
      <c r="A200" t="s">
        <v>239</v>
      </c>
      <c r="B200" t="s">
        <v>24</v>
      </c>
      <c r="C200" s="7">
        <v>45484</v>
      </c>
      <c r="D200" t="s">
        <v>25</v>
      </c>
      <c r="E200" t="s">
        <v>37</v>
      </c>
      <c r="F200">
        <v>4247</v>
      </c>
      <c r="G200">
        <v>179</v>
      </c>
      <c r="H200">
        <v>175</v>
      </c>
      <c r="I200">
        <v>32991</v>
      </c>
      <c r="J200">
        <v>70120</v>
      </c>
      <c r="K200">
        <v>276</v>
      </c>
      <c r="L200" s="14">
        <v>0.139462277590858</v>
      </c>
      <c r="M200" t="s">
        <v>45</v>
      </c>
      <c r="N200" t="s">
        <v>42</v>
      </c>
      <c r="O200" t="s">
        <v>18</v>
      </c>
    </row>
    <row r="201" spans="1:15">
      <c r="A201" t="s">
        <v>240</v>
      </c>
      <c r="B201" t="s">
        <v>24</v>
      </c>
      <c r="C201" s="7">
        <v>45369</v>
      </c>
      <c r="D201" t="s">
        <v>15</v>
      </c>
      <c r="E201" t="s">
        <v>26</v>
      </c>
      <c r="F201">
        <v>2033</v>
      </c>
      <c r="G201">
        <v>420</v>
      </c>
      <c r="H201">
        <v>94</v>
      </c>
      <c r="I201">
        <v>56290</v>
      </c>
      <c r="J201">
        <v>57391</v>
      </c>
      <c r="K201">
        <v>196</v>
      </c>
      <c r="L201" s="14">
        <v>4.5247823769763697E-2</v>
      </c>
      <c r="M201" t="s">
        <v>42</v>
      </c>
      <c r="N201" t="s">
        <v>375</v>
      </c>
      <c r="O201" t="s">
        <v>18</v>
      </c>
    </row>
    <row r="202" spans="1:15">
      <c r="A202" t="s">
        <v>241</v>
      </c>
      <c r="B202" t="s">
        <v>24</v>
      </c>
      <c r="C202" s="7">
        <v>45547</v>
      </c>
      <c r="D202" t="s">
        <v>25</v>
      </c>
      <c r="E202" t="s">
        <v>29</v>
      </c>
      <c r="F202">
        <v>1839</v>
      </c>
      <c r="G202">
        <v>223</v>
      </c>
      <c r="H202">
        <v>171</v>
      </c>
      <c r="I202">
        <v>35459</v>
      </c>
      <c r="J202">
        <v>69988</v>
      </c>
      <c r="K202">
        <v>114</v>
      </c>
      <c r="L202" s="14">
        <v>6.2974139146620006E-2</v>
      </c>
      <c r="M202" t="s">
        <v>376</v>
      </c>
      <c r="N202" t="s">
        <v>42</v>
      </c>
      <c r="O202" t="s">
        <v>18</v>
      </c>
    </row>
    <row r="203" spans="1:15">
      <c r="A203" t="s">
        <v>242</v>
      </c>
      <c r="B203" t="s">
        <v>24</v>
      </c>
      <c r="C203" s="7">
        <v>45302</v>
      </c>
      <c r="D203" t="s">
        <v>25</v>
      </c>
      <c r="E203" t="s">
        <v>29</v>
      </c>
      <c r="F203">
        <v>2340</v>
      </c>
      <c r="G203">
        <v>141</v>
      </c>
      <c r="H203">
        <v>206</v>
      </c>
      <c r="I203">
        <v>24916</v>
      </c>
      <c r="J203">
        <v>30582</v>
      </c>
      <c r="K203">
        <v>157</v>
      </c>
      <c r="L203" s="14">
        <v>0.107842350296998</v>
      </c>
      <c r="M203" t="s">
        <v>45</v>
      </c>
      <c r="N203" t="s">
        <v>42</v>
      </c>
      <c r="O203" t="s">
        <v>18</v>
      </c>
    </row>
    <row r="204" spans="1:15">
      <c r="A204" t="s">
        <v>243</v>
      </c>
      <c r="B204" t="s">
        <v>14</v>
      </c>
      <c r="C204" s="7">
        <v>45571</v>
      </c>
      <c r="D204" t="s">
        <v>15</v>
      </c>
      <c r="E204" t="s">
        <v>41</v>
      </c>
      <c r="F204">
        <v>2080</v>
      </c>
      <c r="G204">
        <v>389</v>
      </c>
      <c r="H204">
        <v>92</v>
      </c>
      <c r="I204">
        <v>30971</v>
      </c>
      <c r="J204">
        <v>25347</v>
      </c>
      <c r="K204">
        <v>111</v>
      </c>
      <c r="L204" s="14">
        <v>8.26902586290401E-2</v>
      </c>
      <c r="M204" t="s">
        <v>21</v>
      </c>
      <c r="N204" t="s">
        <v>375</v>
      </c>
      <c r="O204" t="s">
        <v>22</v>
      </c>
    </row>
    <row r="205" spans="1:15">
      <c r="A205" t="s">
        <v>244</v>
      </c>
      <c r="B205" t="s">
        <v>24</v>
      </c>
      <c r="C205" s="7">
        <v>45656</v>
      </c>
      <c r="D205" t="s">
        <v>15</v>
      </c>
      <c r="E205" t="s">
        <v>37</v>
      </c>
      <c r="F205">
        <v>4214</v>
      </c>
      <c r="G205">
        <v>286</v>
      </c>
      <c r="H205">
        <v>127</v>
      </c>
      <c r="I205">
        <v>47293</v>
      </c>
      <c r="J205">
        <v>27184</v>
      </c>
      <c r="K205">
        <v>232</v>
      </c>
      <c r="L205" s="14">
        <v>9.7836889180217004E-2</v>
      </c>
      <c r="M205" t="s">
        <v>42</v>
      </c>
      <c r="N205" t="s">
        <v>375</v>
      </c>
      <c r="O205" t="s">
        <v>18</v>
      </c>
    </row>
    <row r="206" spans="1:15">
      <c r="A206" t="s">
        <v>245</v>
      </c>
      <c r="B206" t="s">
        <v>24</v>
      </c>
      <c r="C206" s="7">
        <v>45763</v>
      </c>
      <c r="D206" t="s">
        <v>15</v>
      </c>
      <c r="E206" t="s">
        <v>29</v>
      </c>
      <c r="F206">
        <v>3792</v>
      </c>
      <c r="G206">
        <v>315</v>
      </c>
      <c r="H206">
        <v>120</v>
      </c>
      <c r="I206">
        <v>54592</v>
      </c>
      <c r="J206">
        <v>67886</v>
      </c>
      <c r="K206">
        <v>117</v>
      </c>
      <c r="L206" s="14">
        <v>7.7428927315357596E-2</v>
      </c>
      <c r="M206" t="s">
        <v>45</v>
      </c>
      <c r="N206" t="s">
        <v>375</v>
      </c>
      <c r="O206" t="s">
        <v>22</v>
      </c>
    </row>
    <row r="207" spans="1:15">
      <c r="A207" t="s">
        <v>246</v>
      </c>
      <c r="B207" t="s">
        <v>24</v>
      </c>
      <c r="C207" s="7">
        <v>45525</v>
      </c>
      <c r="D207" t="s">
        <v>25</v>
      </c>
      <c r="E207" t="s">
        <v>20</v>
      </c>
      <c r="F207">
        <v>3989</v>
      </c>
      <c r="G207">
        <v>476</v>
      </c>
      <c r="H207">
        <v>128</v>
      </c>
      <c r="I207">
        <v>57569</v>
      </c>
      <c r="J207">
        <v>40193</v>
      </c>
      <c r="K207">
        <v>222</v>
      </c>
      <c r="L207" s="14">
        <v>7.9782521843353202E-2</v>
      </c>
      <c r="M207" t="s">
        <v>21</v>
      </c>
      <c r="N207" t="s">
        <v>376</v>
      </c>
      <c r="O207" t="s">
        <v>18</v>
      </c>
    </row>
    <row r="208" spans="1:15">
      <c r="A208" t="s">
        <v>247</v>
      </c>
      <c r="B208" t="s">
        <v>24</v>
      </c>
      <c r="C208" s="7">
        <v>45387</v>
      </c>
      <c r="D208" t="s">
        <v>25</v>
      </c>
      <c r="E208" t="s">
        <v>29</v>
      </c>
      <c r="F208">
        <v>2857</v>
      </c>
      <c r="G208">
        <v>443</v>
      </c>
      <c r="H208">
        <v>359</v>
      </c>
      <c r="I208">
        <v>51519</v>
      </c>
      <c r="J208">
        <v>28256</v>
      </c>
      <c r="K208">
        <v>155</v>
      </c>
      <c r="L208" s="14">
        <v>7.1022341272151998E-2</v>
      </c>
      <c r="M208" t="s">
        <v>45</v>
      </c>
      <c r="N208" t="s">
        <v>42</v>
      </c>
      <c r="O208" t="s">
        <v>18</v>
      </c>
    </row>
    <row r="209" spans="1:15">
      <c r="A209" t="s">
        <v>248</v>
      </c>
      <c r="B209" t="s">
        <v>24</v>
      </c>
      <c r="C209" s="7">
        <v>45754</v>
      </c>
      <c r="D209" t="s">
        <v>15</v>
      </c>
      <c r="E209" t="s">
        <v>49</v>
      </c>
      <c r="F209">
        <v>1403</v>
      </c>
      <c r="G209">
        <v>385</v>
      </c>
      <c r="H209">
        <v>344</v>
      </c>
      <c r="I209">
        <v>54223</v>
      </c>
      <c r="J209">
        <v>72595</v>
      </c>
      <c r="K209">
        <v>239</v>
      </c>
      <c r="L209" s="14">
        <v>3.9319108127547402E-2</v>
      </c>
      <c r="M209" t="s">
        <v>45</v>
      </c>
      <c r="N209" t="s">
        <v>375</v>
      </c>
      <c r="O209" t="s">
        <v>22</v>
      </c>
    </row>
    <row r="210" spans="1:15">
      <c r="A210" t="s">
        <v>249</v>
      </c>
      <c r="B210" t="s">
        <v>24</v>
      </c>
      <c r="C210" s="7">
        <v>45492</v>
      </c>
      <c r="D210" t="s">
        <v>25</v>
      </c>
      <c r="E210" t="s">
        <v>35</v>
      </c>
      <c r="F210">
        <v>3071</v>
      </c>
      <c r="G210">
        <v>126</v>
      </c>
      <c r="H210">
        <v>200</v>
      </c>
      <c r="I210">
        <v>44013</v>
      </c>
      <c r="J210">
        <v>44679</v>
      </c>
      <c r="K210">
        <v>118</v>
      </c>
      <c r="L210" s="14">
        <v>7.7181741758116901E-2</v>
      </c>
      <c r="M210" t="s">
        <v>21</v>
      </c>
      <c r="N210" t="s">
        <v>376</v>
      </c>
      <c r="O210" t="s">
        <v>18</v>
      </c>
    </row>
    <row r="211" spans="1:15">
      <c r="A211" t="s">
        <v>250</v>
      </c>
      <c r="B211" t="s">
        <v>24</v>
      </c>
      <c r="C211" s="7">
        <v>45780</v>
      </c>
      <c r="D211" t="s">
        <v>25</v>
      </c>
      <c r="E211" t="s">
        <v>41</v>
      </c>
      <c r="F211">
        <v>1010</v>
      </c>
      <c r="G211">
        <v>361</v>
      </c>
      <c r="H211">
        <v>240</v>
      </c>
      <c r="I211">
        <v>47229</v>
      </c>
      <c r="J211">
        <v>72573</v>
      </c>
      <c r="K211">
        <v>275</v>
      </c>
      <c r="L211" s="14">
        <v>3.4110398272248002E-2</v>
      </c>
      <c r="M211" t="s">
        <v>45</v>
      </c>
      <c r="N211" t="s">
        <v>42</v>
      </c>
      <c r="O211" t="s">
        <v>18</v>
      </c>
    </row>
    <row r="212" spans="1:15">
      <c r="A212" t="s">
        <v>251</v>
      </c>
      <c r="B212" t="s">
        <v>24</v>
      </c>
      <c r="C212" s="7">
        <v>45396</v>
      </c>
      <c r="D212" t="s">
        <v>25</v>
      </c>
      <c r="E212" t="s">
        <v>16</v>
      </c>
      <c r="F212">
        <v>1295</v>
      </c>
      <c r="G212">
        <v>153</v>
      </c>
      <c r="H212">
        <v>81</v>
      </c>
      <c r="I212">
        <v>48350</v>
      </c>
      <c r="J212">
        <v>61033</v>
      </c>
      <c r="K212">
        <v>232</v>
      </c>
      <c r="L212" s="14">
        <v>3.1623578076525299E-2</v>
      </c>
      <c r="M212" t="s">
        <v>21</v>
      </c>
      <c r="N212" t="s">
        <v>376</v>
      </c>
      <c r="O212" t="s">
        <v>18</v>
      </c>
    </row>
    <row r="213" spans="1:15">
      <c r="A213" t="s">
        <v>252</v>
      </c>
      <c r="B213" t="s">
        <v>24</v>
      </c>
      <c r="C213" s="7">
        <v>45827</v>
      </c>
      <c r="D213" t="s">
        <v>25</v>
      </c>
      <c r="E213" t="s">
        <v>35</v>
      </c>
      <c r="F213">
        <v>1433</v>
      </c>
      <c r="G213">
        <v>452</v>
      </c>
      <c r="H213">
        <v>305</v>
      </c>
      <c r="I213">
        <v>54541</v>
      </c>
      <c r="J213">
        <v>63700</v>
      </c>
      <c r="K213">
        <v>296</v>
      </c>
      <c r="L213" s="14">
        <v>4.0153279184466699E-2</v>
      </c>
      <c r="M213" t="s">
        <v>21</v>
      </c>
      <c r="N213" t="s">
        <v>376</v>
      </c>
      <c r="O213" t="s">
        <v>18</v>
      </c>
    </row>
    <row r="214" spans="1:15">
      <c r="A214" t="s">
        <v>253</v>
      </c>
      <c r="B214" t="s">
        <v>14</v>
      </c>
      <c r="C214" s="7">
        <v>45832</v>
      </c>
      <c r="D214" t="s">
        <v>25</v>
      </c>
      <c r="E214" t="s">
        <v>37</v>
      </c>
      <c r="F214">
        <v>4902</v>
      </c>
      <c r="G214">
        <v>422</v>
      </c>
      <c r="H214">
        <v>376</v>
      </c>
      <c r="I214">
        <v>31674</v>
      </c>
      <c r="J214">
        <v>53225</v>
      </c>
      <c r="K214">
        <v>147</v>
      </c>
      <c r="L214" s="14">
        <v>0.17995832544042401</v>
      </c>
      <c r="M214" t="s">
        <v>42</v>
      </c>
      <c r="N214" t="s">
        <v>375</v>
      </c>
      <c r="O214" t="s">
        <v>55</v>
      </c>
    </row>
    <row r="215" spans="1:15">
      <c r="A215" t="s">
        <v>254</v>
      </c>
      <c r="B215" t="s">
        <v>24</v>
      </c>
      <c r="C215" s="7">
        <v>45574</v>
      </c>
      <c r="D215" t="s">
        <v>15</v>
      </c>
      <c r="E215" t="s">
        <v>29</v>
      </c>
      <c r="F215">
        <v>2659</v>
      </c>
      <c r="G215">
        <v>167</v>
      </c>
      <c r="H215">
        <v>73</v>
      </c>
      <c r="I215">
        <v>23090</v>
      </c>
      <c r="J215">
        <v>25872</v>
      </c>
      <c r="K215">
        <v>293</v>
      </c>
      <c r="L215" s="14">
        <v>0.12555218709398</v>
      </c>
      <c r="M215" t="s">
        <v>45</v>
      </c>
      <c r="N215" t="s">
        <v>375</v>
      </c>
      <c r="O215" t="s">
        <v>22</v>
      </c>
    </row>
    <row r="216" spans="1:15">
      <c r="A216" t="s">
        <v>255</v>
      </c>
      <c r="B216" t="s">
        <v>31</v>
      </c>
      <c r="C216" s="7">
        <v>45672</v>
      </c>
      <c r="D216" t="s">
        <v>15</v>
      </c>
      <c r="E216" t="s">
        <v>51</v>
      </c>
      <c r="F216">
        <v>2599</v>
      </c>
      <c r="G216">
        <v>324</v>
      </c>
      <c r="H216">
        <v>182</v>
      </c>
      <c r="I216">
        <v>37525</v>
      </c>
      <c r="J216">
        <v>37216</v>
      </c>
      <c r="K216">
        <v>186</v>
      </c>
      <c r="L216" s="14">
        <v>8.2744836775482999E-2</v>
      </c>
      <c r="M216" t="s">
        <v>21</v>
      </c>
      <c r="N216" t="s">
        <v>377</v>
      </c>
      <c r="O216" t="s">
        <v>22</v>
      </c>
    </row>
    <row r="217" spans="1:15">
      <c r="A217" t="s">
        <v>256</v>
      </c>
      <c r="B217" t="s">
        <v>24</v>
      </c>
      <c r="C217" s="7">
        <v>45669</v>
      </c>
      <c r="D217" t="s">
        <v>15</v>
      </c>
      <c r="E217" t="s">
        <v>32</v>
      </c>
      <c r="F217">
        <v>1765</v>
      </c>
      <c r="G217">
        <v>285</v>
      </c>
      <c r="H217">
        <v>100</v>
      </c>
      <c r="I217">
        <v>41313</v>
      </c>
      <c r="J217">
        <v>56575</v>
      </c>
      <c r="K217">
        <v>174</v>
      </c>
      <c r="L217" s="14">
        <v>5.2041730205988401E-2</v>
      </c>
      <c r="M217" t="s">
        <v>45</v>
      </c>
      <c r="N217" t="s">
        <v>375</v>
      </c>
      <c r="O217" t="s">
        <v>22</v>
      </c>
    </row>
    <row r="218" spans="1:15">
      <c r="A218" t="s">
        <v>257</v>
      </c>
      <c r="B218" t="s">
        <v>14</v>
      </c>
      <c r="C218" s="7">
        <v>45808</v>
      </c>
      <c r="D218" t="s">
        <v>15</v>
      </c>
      <c r="E218" t="s">
        <v>35</v>
      </c>
      <c r="F218">
        <v>2169</v>
      </c>
      <c r="G218">
        <v>240</v>
      </c>
      <c r="H218">
        <v>57</v>
      </c>
      <c r="I218">
        <v>26109</v>
      </c>
      <c r="J218">
        <v>46667</v>
      </c>
      <c r="K218">
        <v>133</v>
      </c>
      <c r="L218" s="14">
        <v>9.4450189589796604E-2</v>
      </c>
      <c r="M218" t="s">
        <v>45</v>
      </c>
      <c r="N218" t="s">
        <v>42</v>
      </c>
      <c r="O218" t="s">
        <v>18</v>
      </c>
    </row>
    <row r="219" spans="1:15">
      <c r="A219" t="s">
        <v>258</v>
      </c>
      <c r="B219" t="s">
        <v>24</v>
      </c>
      <c r="C219" s="7">
        <v>45579</v>
      </c>
      <c r="D219" t="s">
        <v>25</v>
      </c>
      <c r="E219" t="s">
        <v>20</v>
      </c>
      <c r="F219">
        <v>4303</v>
      </c>
      <c r="G219">
        <v>306</v>
      </c>
      <c r="H219">
        <v>302</v>
      </c>
      <c r="I219">
        <v>39575</v>
      </c>
      <c r="J219">
        <v>33762</v>
      </c>
      <c r="K219">
        <v>265</v>
      </c>
      <c r="L219" s="14">
        <v>0.12409349336702501</v>
      </c>
      <c r="M219" t="s">
        <v>21</v>
      </c>
      <c r="N219" t="s">
        <v>376</v>
      </c>
      <c r="O219" t="s">
        <v>18</v>
      </c>
    </row>
    <row r="220" spans="1:15">
      <c r="A220" t="s">
        <v>259</v>
      </c>
      <c r="B220" t="s">
        <v>24</v>
      </c>
      <c r="C220" s="7">
        <v>45332</v>
      </c>
      <c r="D220" t="s">
        <v>15</v>
      </c>
      <c r="E220" t="s">
        <v>49</v>
      </c>
      <c r="F220">
        <v>1519</v>
      </c>
      <c r="G220">
        <v>456</v>
      </c>
      <c r="H220">
        <v>379</v>
      </c>
      <c r="I220">
        <v>51611</v>
      </c>
      <c r="J220">
        <v>45880</v>
      </c>
      <c r="K220">
        <v>176</v>
      </c>
      <c r="L220" s="14">
        <v>4.5610431884675798E-2</v>
      </c>
      <c r="M220" t="s">
        <v>45</v>
      </c>
      <c r="N220" t="s">
        <v>375</v>
      </c>
      <c r="O220" t="s">
        <v>22</v>
      </c>
    </row>
    <row r="221" spans="1:15">
      <c r="A221" t="s">
        <v>260</v>
      </c>
      <c r="B221" t="s">
        <v>31</v>
      </c>
      <c r="C221" s="7">
        <v>45636</v>
      </c>
      <c r="D221" t="s">
        <v>15</v>
      </c>
      <c r="E221" t="s">
        <v>35</v>
      </c>
      <c r="F221">
        <v>2569</v>
      </c>
      <c r="G221">
        <v>140</v>
      </c>
      <c r="H221">
        <v>375</v>
      </c>
      <c r="I221">
        <v>38372</v>
      </c>
      <c r="J221">
        <v>22102</v>
      </c>
      <c r="K221">
        <v>255</v>
      </c>
      <c r="L221" s="14">
        <v>8.0371103929948895E-2</v>
      </c>
      <c r="M221" t="s">
        <v>21</v>
      </c>
      <c r="N221" t="s">
        <v>377</v>
      </c>
      <c r="O221" t="s">
        <v>22</v>
      </c>
    </row>
    <row r="222" spans="1:15">
      <c r="A222" t="s">
        <v>261</v>
      </c>
      <c r="B222" t="s">
        <v>24</v>
      </c>
      <c r="C222" s="7">
        <v>45786</v>
      </c>
      <c r="D222" t="s">
        <v>25</v>
      </c>
      <c r="E222" t="s">
        <v>32</v>
      </c>
      <c r="F222">
        <v>2778</v>
      </c>
      <c r="G222">
        <v>241</v>
      </c>
      <c r="H222">
        <v>317</v>
      </c>
      <c r="I222">
        <v>26247</v>
      </c>
      <c r="J222">
        <v>20677</v>
      </c>
      <c r="K222">
        <v>282</v>
      </c>
      <c r="L222" s="14">
        <v>0.127100240027432</v>
      </c>
      <c r="M222" t="s">
        <v>376</v>
      </c>
      <c r="N222" t="s">
        <v>42</v>
      </c>
      <c r="O222" t="s">
        <v>18</v>
      </c>
    </row>
    <row r="223" spans="1:15">
      <c r="A223" t="s">
        <v>262</v>
      </c>
      <c r="B223" t="s">
        <v>24</v>
      </c>
      <c r="C223" s="7">
        <v>45829</v>
      </c>
      <c r="D223" t="s">
        <v>15</v>
      </c>
      <c r="E223" t="s">
        <v>20</v>
      </c>
      <c r="F223">
        <v>3611</v>
      </c>
      <c r="G223">
        <v>127</v>
      </c>
      <c r="H223">
        <v>139</v>
      </c>
      <c r="I223">
        <v>44768</v>
      </c>
      <c r="J223">
        <v>29435</v>
      </c>
      <c r="K223">
        <v>178</v>
      </c>
      <c r="L223" s="14">
        <v>8.6602037169406704E-2</v>
      </c>
      <c r="M223" t="s">
        <v>42</v>
      </c>
      <c r="N223" t="s">
        <v>375</v>
      </c>
      <c r="O223" t="s">
        <v>18</v>
      </c>
    </row>
    <row r="224" spans="1:15">
      <c r="A224" t="s">
        <v>263</v>
      </c>
      <c r="B224" t="s">
        <v>24</v>
      </c>
      <c r="C224" s="7">
        <v>45462</v>
      </c>
      <c r="D224" t="s">
        <v>15</v>
      </c>
      <c r="E224" t="s">
        <v>35</v>
      </c>
      <c r="F224">
        <v>1224</v>
      </c>
      <c r="G224">
        <v>168</v>
      </c>
      <c r="H224">
        <v>199</v>
      </c>
      <c r="I224">
        <v>54232</v>
      </c>
      <c r="J224">
        <v>52844</v>
      </c>
      <c r="K224">
        <v>271</v>
      </c>
      <c r="L224" s="14">
        <v>2.9336922849977898E-2</v>
      </c>
      <c r="M224" t="s">
        <v>45</v>
      </c>
      <c r="N224" t="s">
        <v>375</v>
      </c>
      <c r="O224" t="s">
        <v>22</v>
      </c>
    </row>
    <row r="225" spans="1:15">
      <c r="A225" t="s">
        <v>264</v>
      </c>
      <c r="B225" t="s">
        <v>24</v>
      </c>
      <c r="C225" s="7">
        <v>45636</v>
      </c>
      <c r="D225" t="s">
        <v>15</v>
      </c>
      <c r="E225" t="s">
        <v>49</v>
      </c>
      <c r="F225">
        <v>4673</v>
      </c>
      <c r="G225">
        <v>270</v>
      </c>
      <c r="H225">
        <v>93</v>
      </c>
      <c r="I225">
        <v>45260</v>
      </c>
      <c r="J225">
        <v>57513</v>
      </c>
      <c r="K225">
        <v>103</v>
      </c>
      <c r="L225" s="14">
        <v>0.11126822801590799</v>
      </c>
      <c r="M225" t="s">
        <v>42</v>
      </c>
      <c r="N225" t="s">
        <v>375</v>
      </c>
      <c r="O225" t="s">
        <v>18</v>
      </c>
    </row>
    <row r="226" spans="1:15">
      <c r="A226" t="s">
        <v>265</v>
      </c>
      <c r="B226" t="s">
        <v>31</v>
      </c>
      <c r="C226" s="7">
        <v>45323</v>
      </c>
      <c r="D226" t="s">
        <v>15</v>
      </c>
      <c r="E226" t="s">
        <v>29</v>
      </c>
      <c r="F226">
        <v>1432</v>
      </c>
      <c r="G226">
        <v>437</v>
      </c>
      <c r="H226">
        <v>267</v>
      </c>
      <c r="I226">
        <v>40634</v>
      </c>
      <c r="J226">
        <v>54511</v>
      </c>
      <c r="K226">
        <v>197</v>
      </c>
      <c r="L226" s="14">
        <v>5.2566815966924203E-2</v>
      </c>
      <c r="M226" t="s">
        <v>21</v>
      </c>
      <c r="N226" t="s">
        <v>377</v>
      </c>
      <c r="O226" t="s">
        <v>22</v>
      </c>
    </row>
    <row r="227" spans="1:15">
      <c r="A227" t="s">
        <v>266</v>
      </c>
      <c r="B227" t="s">
        <v>24</v>
      </c>
      <c r="C227" s="7">
        <v>45308</v>
      </c>
      <c r="D227" t="s">
        <v>25</v>
      </c>
      <c r="E227" t="s">
        <v>26</v>
      </c>
      <c r="F227">
        <v>2174</v>
      </c>
      <c r="G227">
        <v>499</v>
      </c>
      <c r="H227">
        <v>212</v>
      </c>
      <c r="I227">
        <v>54938</v>
      </c>
      <c r="J227">
        <v>27190</v>
      </c>
      <c r="K227">
        <v>265</v>
      </c>
      <c r="L227" s="14">
        <v>5.2513742764570999E-2</v>
      </c>
      <c r="M227" t="s">
        <v>376</v>
      </c>
      <c r="N227" t="s">
        <v>42</v>
      </c>
      <c r="O227" t="s">
        <v>18</v>
      </c>
    </row>
    <row r="228" spans="1:15">
      <c r="A228" t="s">
        <v>267</v>
      </c>
      <c r="B228" t="s">
        <v>31</v>
      </c>
      <c r="C228" s="7">
        <v>45738</v>
      </c>
      <c r="D228" t="s">
        <v>15</v>
      </c>
      <c r="E228" t="s">
        <v>32</v>
      </c>
      <c r="F228">
        <v>4308</v>
      </c>
      <c r="G228">
        <v>171</v>
      </c>
      <c r="H228">
        <v>106</v>
      </c>
      <c r="I228">
        <v>36955</v>
      </c>
      <c r="J228">
        <v>23949</v>
      </c>
      <c r="K228">
        <v>294</v>
      </c>
      <c r="L228" s="14">
        <v>0.124069814639426</v>
      </c>
      <c r="M228" t="s">
        <v>21</v>
      </c>
      <c r="N228" t="s">
        <v>377</v>
      </c>
      <c r="O228" t="s">
        <v>22</v>
      </c>
    </row>
    <row r="229" spans="1:15">
      <c r="A229" t="s">
        <v>268</v>
      </c>
      <c r="B229" t="s">
        <v>31</v>
      </c>
      <c r="C229" s="7">
        <v>45442</v>
      </c>
      <c r="D229" t="s">
        <v>57</v>
      </c>
      <c r="E229" t="s">
        <v>35</v>
      </c>
      <c r="F229">
        <v>1060</v>
      </c>
      <c r="G229">
        <v>442</v>
      </c>
      <c r="H229">
        <v>319</v>
      </c>
      <c r="I229">
        <v>57194</v>
      </c>
      <c r="J229">
        <v>24258</v>
      </c>
      <c r="K229">
        <v>101</v>
      </c>
      <c r="L229" s="14">
        <v>3.1839004091338302E-2</v>
      </c>
      <c r="M229" t="s">
        <v>21</v>
      </c>
      <c r="N229" t="s">
        <v>45</v>
      </c>
      <c r="O229" t="s">
        <v>59</v>
      </c>
    </row>
    <row r="230" spans="1:15">
      <c r="A230" t="s">
        <v>269</v>
      </c>
      <c r="B230" t="s">
        <v>31</v>
      </c>
      <c r="C230" s="7">
        <v>45346</v>
      </c>
      <c r="D230" t="s">
        <v>15</v>
      </c>
      <c r="E230" t="s">
        <v>32</v>
      </c>
      <c r="F230">
        <v>4653</v>
      </c>
      <c r="G230">
        <v>226</v>
      </c>
      <c r="H230">
        <v>349</v>
      </c>
      <c r="I230">
        <v>56876</v>
      </c>
      <c r="J230">
        <v>28452</v>
      </c>
      <c r="K230">
        <v>257</v>
      </c>
      <c r="L230" s="14">
        <v>9.1919262958013906E-2</v>
      </c>
      <c r="M230" t="s">
        <v>21</v>
      </c>
      <c r="N230" t="s">
        <v>377</v>
      </c>
      <c r="O230" t="s">
        <v>22</v>
      </c>
    </row>
    <row r="231" spans="1:15">
      <c r="A231" t="s">
        <v>270</v>
      </c>
      <c r="B231" t="s">
        <v>31</v>
      </c>
      <c r="C231" s="7">
        <v>45791</v>
      </c>
      <c r="D231" t="s">
        <v>15</v>
      </c>
      <c r="E231" t="s">
        <v>16</v>
      </c>
      <c r="F231">
        <v>1701</v>
      </c>
      <c r="G231">
        <v>272</v>
      </c>
      <c r="H231">
        <v>385</v>
      </c>
      <c r="I231">
        <v>47496</v>
      </c>
      <c r="J231">
        <v>40832</v>
      </c>
      <c r="K231">
        <v>246</v>
      </c>
      <c r="L231" s="14">
        <v>4.9646286003031802E-2</v>
      </c>
      <c r="M231" t="s">
        <v>21</v>
      </c>
      <c r="N231" t="s">
        <v>377</v>
      </c>
      <c r="O231" t="s">
        <v>22</v>
      </c>
    </row>
    <row r="232" spans="1:15">
      <c r="A232" t="s">
        <v>271</v>
      </c>
      <c r="B232" t="s">
        <v>14</v>
      </c>
      <c r="C232" s="7">
        <v>45379</v>
      </c>
      <c r="D232" t="s">
        <v>15</v>
      </c>
      <c r="E232" t="s">
        <v>35</v>
      </c>
      <c r="F232">
        <v>1673</v>
      </c>
      <c r="G232">
        <v>280</v>
      </c>
      <c r="H232">
        <v>67</v>
      </c>
      <c r="I232">
        <v>29847</v>
      </c>
      <c r="J232">
        <v>48016</v>
      </c>
      <c r="K232">
        <v>213</v>
      </c>
      <c r="L232" s="14">
        <v>6.76784936509532E-2</v>
      </c>
      <c r="M232" t="s">
        <v>45</v>
      </c>
      <c r="N232" t="s">
        <v>42</v>
      </c>
      <c r="O232" t="s">
        <v>18</v>
      </c>
    </row>
    <row r="233" spans="1:15">
      <c r="A233" t="s">
        <v>272</v>
      </c>
      <c r="B233" t="s">
        <v>31</v>
      </c>
      <c r="C233" s="7">
        <v>45723</v>
      </c>
      <c r="D233" t="s">
        <v>15</v>
      </c>
      <c r="E233" t="s">
        <v>41</v>
      </c>
      <c r="F233">
        <v>4310</v>
      </c>
      <c r="G233">
        <v>284</v>
      </c>
      <c r="H233">
        <v>306</v>
      </c>
      <c r="I233">
        <v>44606</v>
      </c>
      <c r="J233">
        <v>42604</v>
      </c>
      <c r="K233">
        <v>290</v>
      </c>
      <c r="L233" s="14">
        <v>0.109850692731919</v>
      </c>
      <c r="M233" t="s">
        <v>21</v>
      </c>
      <c r="N233" t="s">
        <v>377</v>
      </c>
      <c r="O233" t="s">
        <v>22</v>
      </c>
    </row>
    <row r="234" spans="1:15">
      <c r="A234" t="s">
        <v>273</v>
      </c>
      <c r="B234" t="s">
        <v>24</v>
      </c>
      <c r="C234" s="7">
        <v>45585</v>
      </c>
      <c r="D234" t="s">
        <v>15</v>
      </c>
      <c r="E234" t="s">
        <v>49</v>
      </c>
      <c r="F234">
        <v>2752</v>
      </c>
      <c r="G234">
        <v>309</v>
      </c>
      <c r="H234">
        <v>91</v>
      </c>
      <c r="I234">
        <v>39038</v>
      </c>
      <c r="J234">
        <v>28095</v>
      </c>
      <c r="K234">
        <v>277</v>
      </c>
      <c r="L234" s="14">
        <v>8.0741841282852597E-2</v>
      </c>
      <c r="M234" t="s">
        <v>42</v>
      </c>
      <c r="N234" t="s">
        <v>375</v>
      </c>
      <c r="O234" t="s">
        <v>18</v>
      </c>
    </row>
    <row r="235" spans="1:15">
      <c r="A235" t="s">
        <v>274</v>
      </c>
      <c r="B235" t="s">
        <v>24</v>
      </c>
      <c r="C235" s="7">
        <v>45324</v>
      </c>
      <c r="D235" t="s">
        <v>15</v>
      </c>
      <c r="E235" t="s">
        <v>49</v>
      </c>
      <c r="F235">
        <v>3818</v>
      </c>
      <c r="G235">
        <v>115</v>
      </c>
      <c r="H235">
        <v>286</v>
      </c>
      <c r="I235">
        <v>25127</v>
      </c>
      <c r="J235">
        <v>22277</v>
      </c>
      <c r="K235">
        <v>263</v>
      </c>
      <c r="L235" s="14">
        <v>0.16790703227603801</v>
      </c>
      <c r="M235" t="s">
        <v>42</v>
      </c>
      <c r="N235" t="s">
        <v>375</v>
      </c>
      <c r="O235" t="s">
        <v>18</v>
      </c>
    </row>
    <row r="236" spans="1:15">
      <c r="A236" t="s">
        <v>275</v>
      </c>
      <c r="B236" t="s">
        <v>31</v>
      </c>
      <c r="C236" s="7">
        <v>45542</v>
      </c>
      <c r="D236" t="s">
        <v>15</v>
      </c>
      <c r="E236" t="s">
        <v>51</v>
      </c>
      <c r="F236">
        <v>2101</v>
      </c>
      <c r="G236">
        <v>411</v>
      </c>
      <c r="H236">
        <v>190</v>
      </c>
      <c r="I236">
        <v>41791</v>
      </c>
      <c r="J236">
        <v>57090</v>
      </c>
      <c r="K236">
        <v>172</v>
      </c>
      <c r="L236" s="14">
        <v>6.4655069273288499E-2</v>
      </c>
      <c r="M236" t="s">
        <v>21</v>
      </c>
      <c r="N236" t="s">
        <v>377</v>
      </c>
      <c r="O236" t="s">
        <v>22</v>
      </c>
    </row>
    <row r="237" spans="1:15">
      <c r="A237" t="s">
        <v>276</v>
      </c>
      <c r="B237" t="s">
        <v>14</v>
      </c>
      <c r="C237" s="7">
        <v>45646</v>
      </c>
      <c r="D237" t="s">
        <v>15</v>
      </c>
      <c r="E237" t="s">
        <v>16</v>
      </c>
      <c r="F237">
        <v>2519</v>
      </c>
      <c r="G237">
        <v>202</v>
      </c>
      <c r="H237">
        <v>239</v>
      </c>
      <c r="I237">
        <v>36245</v>
      </c>
      <c r="J237">
        <v>48606</v>
      </c>
      <c r="K237">
        <v>145</v>
      </c>
      <c r="L237" s="14">
        <v>8.1666436749896598E-2</v>
      </c>
      <c r="M237" t="s">
        <v>21</v>
      </c>
      <c r="N237" t="s">
        <v>375</v>
      </c>
      <c r="O237" t="s">
        <v>22</v>
      </c>
    </row>
    <row r="238" spans="1:15">
      <c r="A238" t="s">
        <v>277</v>
      </c>
      <c r="B238" t="s">
        <v>31</v>
      </c>
      <c r="C238" s="7">
        <v>45305</v>
      </c>
      <c r="D238" t="s">
        <v>15</v>
      </c>
      <c r="E238" t="s">
        <v>35</v>
      </c>
      <c r="F238">
        <v>4502</v>
      </c>
      <c r="G238">
        <v>238</v>
      </c>
      <c r="H238">
        <v>386</v>
      </c>
      <c r="I238">
        <v>39198</v>
      </c>
      <c r="J238">
        <v>25050</v>
      </c>
      <c r="K238">
        <v>297</v>
      </c>
      <c r="L238" s="14">
        <v>0.130771978162151</v>
      </c>
      <c r="M238" t="s">
        <v>21</v>
      </c>
      <c r="N238" t="s">
        <v>377</v>
      </c>
      <c r="O238" t="s">
        <v>22</v>
      </c>
    </row>
    <row r="239" spans="1:15">
      <c r="A239" t="s">
        <v>278</v>
      </c>
      <c r="B239" t="s">
        <v>14</v>
      </c>
      <c r="C239" s="7">
        <v>45823</v>
      </c>
      <c r="D239" t="s">
        <v>15</v>
      </c>
      <c r="E239" t="s">
        <v>20</v>
      </c>
      <c r="F239">
        <v>2478</v>
      </c>
      <c r="G239">
        <v>427</v>
      </c>
      <c r="H239">
        <v>242</v>
      </c>
      <c r="I239">
        <v>59272</v>
      </c>
      <c r="J239">
        <v>37833</v>
      </c>
      <c r="K239">
        <v>214</v>
      </c>
      <c r="L239" s="14">
        <v>5.3094209744904801E-2</v>
      </c>
      <c r="M239" t="s">
        <v>45</v>
      </c>
      <c r="N239" t="s">
        <v>42</v>
      </c>
      <c r="O239" t="s">
        <v>18</v>
      </c>
    </row>
    <row r="240" spans="1:15">
      <c r="A240" t="s">
        <v>279</v>
      </c>
      <c r="B240" t="s">
        <v>24</v>
      </c>
      <c r="C240" s="7">
        <v>45639</v>
      </c>
      <c r="D240" t="s">
        <v>25</v>
      </c>
      <c r="E240" t="s">
        <v>26</v>
      </c>
      <c r="F240">
        <v>4984</v>
      </c>
      <c r="G240">
        <v>300</v>
      </c>
      <c r="H240">
        <v>338</v>
      </c>
      <c r="I240">
        <v>32900</v>
      </c>
      <c r="J240">
        <v>31691</v>
      </c>
      <c r="K240">
        <v>160</v>
      </c>
      <c r="L240" s="14">
        <v>0.17088145896656501</v>
      </c>
      <c r="M240" t="s">
        <v>376</v>
      </c>
      <c r="N240" t="s">
        <v>42</v>
      </c>
      <c r="O240" t="s">
        <v>18</v>
      </c>
    </row>
    <row r="241" spans="1:15">
      <c r="A241" t="s">
        <v>280</v>
      </c>
      <c r="B241" t="s">
        <v>31</v>
      </c>
      <c r="C241" s="7">
        <v>45533</v>
      </c>
      <c r="D241" t="s">
        <v>15</v>
      </c>
      <c r="E241" t="s">
        <v>29</v>
      </c>
      <c r="F241">
        <v>4774</v>
      </c>
      <c r="G241">
        <v>389</v>
      </c>
      <c r="H241">
        <v>358</v>
      </c>
      <c r="I241">
        <v>52346</v>
      </c>
      <c r="J241">
        <v>30518</v>
      </c>
      <c r="K241">
        <v>277</v>
      </c>
      <c r="L241" s="14">
        <v>0.105471287204371</v>
      </c>
      <c r="M241" t="s">
        <v>21</v>
      </c>
      <c r="N241" t="s">
        <v>377</v>
      </c>
      <c r="O241" t="s">
        <v>22</v>
      </c>
    </row>
    <row r="242" spans="1:15">
      <c r="A242" t="s">
        <v>281</v>
      </c>
      <c r="B242" t="s">
        <v>24</v>
      </c>
      <c r="C242" s="7">
        <v>45550</v>
      </c>
      <c r="D242" t="s">
        <v>15</v>
      </c>
      <c r="E242" t="s">
        <v>37</v>
      </c>
      <c r="F242">
        <v>2145</v>
      </c>
      <c r="G242">
        <v>340</v>
      </c>
      <c r="H242">
        <v>85</v>
      </c>
      <c r="I242">
        <v>53323</v>
      </c>
      <c r="J242">
        <v>49938</v>
      </c>
      <c r="K242">
        <v>104</v>
      </c>
      <c r="L242" s="14">
        <v>4.8196838137389099E-2</v>
      </c>
      <c r="M242" t="s">
        <v>42</v>
      </c>
      <c r="N242" t="s">
        <v>375</v>
      </c>
      <c r="O242" t="s">
        <v>18</v>
      </c>
    </row>
    <row r="243" spans="1:15">
      <c r="A243" t="s">
        <v>282</v>
      </c>
      <c r="B243" t="s">
        <v>24</v>
      </c>
      <c r="C243" s="7">
        <v>45759</v>
      </c>
      <c r="D243" t="s">
        <v>25</v>
      </c>
      <c r="E243" t="s">
        <v>49</v>
      </c>
      <c r="F243">
        <v>4315</v>
      </c>
      <c r="G243">
        <v>208</v>
      </c>
      <c r="H243">
        <v>273</v>
      </c>
      <c r="I243">
        <v>35780</v>
      </c>
      <c r="J243">
        <v>44349</v>
      </c>
      <c r="K243">
        <v>133</v>
      </c>
      <c r="L243" s="14">
        <v>0.13404136389044199</v>
      </c>
      <c r="M243" t="s">
        <v>21</v>
      </c>
      <c r="N243" t="s">
        <v>376</v>
      </c>
      <c r="O243" t="s">
        <v>18</v>
      </c>
    </row>
    <row r="244" spans="1:15">
      <c r="A244" t="s">
        <v>283</v>
      </c>
      <c r="B244" t="s">
        <v>24</v>
      </c>
      <c r="C244" s="7">
        <v>45636</v>
      </c>
      <c r="D244" t="s">
        <v>25</v>
      </c>
      <c r="E244" t="s">
        <v>29</v>
      </c>
      <c r="F244">
        <v>2267</v>
      </c>
      <c r="G244">
        <v>230</v>
      </c>
      <c r="H244">
        <v>243</v>
      </c>
      <c r="I244">
        <v>27904</v>
      </c>
      <c r="J244">
        <v>69771</v>
      </c>
      <c r="K244">
        <v>255</v>
      </c>
      <c r="L244" s="14">
        <v>9.8193807339449601E-2</v>
      </c>
      <c r="M244" t="s">
        <v>21</v>
      </c>
      <c r="N244" t="s">
        <v>376</v>
      </c>
      <c r="O244" t="s">
        <v>18</v>
      </c>
    </row>
    <row r="245" spans="1:15">
      <c r="A245" t="s">
        <v>284</v>
      </c>
      <c r="B245" t="s">
        <v>31</v>
      </c>
      <c r="C245" s="7">
        <v>45816</v>
      </c>
      <c r="D245" t="s">
        <v>15</v>
      </c>
      <c r="E245" t="s">
        <v>32</v>
      </c>
      <c r="F245">
        <v>4375</v>
      </c>
      <c r="G245">
        <v>303</v>
      </c>
      <c r="H245">
        <v>294</v>
      </c>
      <c r="I245">
        <v>57468</v>
      </c>
      <c r="J245">
        <v>53397</v>
      </c>
      <c r="K245">
        <v>159</v>
      </c>
      <c r="L245" s="14">
        <v>8.6517714206166899E-2</v>
      </c>
      <c r="M245" t="s">
        <v>21</v>
      </c>
      <c r="N245" t="s">
        <v>377</v>
      </c>
      <c r="O245" t="s">
        <v>22</v>
      </c>
    </row>
    <row r="246" spans="1:15">
      <c r="A246" t="s">
        <v>285</v>
      </c>
      <c r="B246" t="s">
        <v>24</v>
      </c>
      <c r="C246" s="7">
        <v>45666</v>
      </c>
      <c r="D246" t="s">
        <v>25</v>
      </c>
      <c r="E246" t="s">
        <v>51</v>
      </c>
      <c r="F246">
        <v>3817</v>
      </c>
      <c r="G246">
        <v>284</v>
      </c>
      <c r="H246">
        <v>204</v>
      </c>
      <c r="I246">
        <v>46434</v>
      </c>
      <c r="J246">
        <v>53396</v>
      </c>
      <c r="K246">
        <v>104</v>
      </c>
      <c r="L246" s="14">
        <v>9.2712236723090799E-2</v>
      </c>
      <c r="M246" t="s">
        <v>376</v>
      </c>
      <c r="N246" t="s">
        <v>42</v>
      </c>
      <c r="O246" t="s">
        <v>18</v>
      </c>
    </row>
    <row r="247" spans="1:15">
      <c r="A247" t="s">
        <v>286</v>
      </c>
      <c r="B247" t="s">
        <v>24</v>
      </c>
      <c r="C247" s="7">
        <v>45481</v>
      </c>
      <c r="D247" t="s">
        <v>25</v>
      </c>
      <c r="E247" t="s">
        <v>41</v>
      </c>
      <c r="F247">
        <v>2981</v>
      </c>
      <c r="G247">
        <v>258</v>
      </c>
      <c r="H247">
        <v>168</v>
      </c>
      <c r="I247">
        <v>20677</v>
      </c>
      <c r="J247">
        <v>68290</v>
      </c>
      <c r="K247">
        <v>130</v>
      </c>
      <c r="L247" s="14">
        <v>0.164772452483436</v>
      </c>
      <c r="M247" t="s">
        <v>45</v>
      </c>
      <c r="N247" t="s">
        <v>42</v>
      </c>
      <c r="O247" t="s">
        <v>18</v>
      </c>
    </row>
    <row r="248" spans="1:15">
      <c r="A248" t="s">
        <v>287</v>
      </c>
      <c r="B248" t="s">
        <v>24</v>
      </c>
      <c r="C248" s="7">
        <v>45551</v>
      </c>
      <c r="D248" t="s">
        <v>25</v>
      </c>
      <c r="E248" t="s">
        <v>51</v>
      </c>
      <c r="F248">
        <v>3300</v>
      </c>
      <c r="G248">
        <v>354</v>
      </c>
      <c r="H248">
        <v>397</v>
      </c>
      <c r="I248">
        <v>56773</v>
      </c>
      <c r="J248">
        <v>72110</v>
      </c>
      <c r="K248">
        <v>163</v>
      </c>
      <c r="L248" s="14">
        <v>7.1354340971940905E-2</v>
      </c>
      <c r="M248" t="s">
        <v>21</v>
      </c>
      <c r="N248" t="s">
        <v>376</v>
      </c>
      <c r="O248" t="s">
        <v>18</v>
      </c>
    </row>
    <row r="249" spans="1:15">
      <c r="A249" t="s">
        <v>288</v>
      </c>
      <c r="B249" t="s">
        <v>31</v>
      </c>
      <c r="C249" s="7">
        <v>45457</v>
      </c>
      <c r="D249" t="s">
        <v>57</v>
      </c>
      <c r="E249" t="s">
        <v>29</v>
      </c>
      <c r="F249">
        <v>4722</v>
      </c>
      <c r="G249">
        <v>310</v>
      </c>
      <c r="H249">
        <v>344</v>
      </c>
      <c r="I249">
        <v>27911</v>
      </c>
      <c r="J249">
        <v>19000</v>
      </c>
      <c r="K249">
        <v>225</v>
      </c>
      <c r="L249" s="14">
        <v>0.19261223173659101</v>
      </c>
      <c r="M249" t="s">
        <v>21</v>
      </c>
      <c r="N249" t="s">
        <v>45</v>
      </c>
      <c r="O249" t="s">
        <v>59</v>
      </c>
    </row>
    <row r="250" spans="1:15">
      <c r="A250" t="s">
        <v>289</v>
      </c>
      <c r="B250" t="s">
        <v>14</v>
      </c>
      <c r="C250" s="7">
        <v>45357</v>
      </c>
      <c r="D250" t="s">
        <v>15</v>
      </c>
      <c r="E250" t="s">
        <v>35</v>
      </c>
      <c r="F250">
        <v>3529</v>
      </c>
      <c r="G250">
        <v>263</v>
      </c>
      <c r="H250">
        <v>107</v>
      </c>
      <c r="I250">
        <v>26570</v>
      </c>
      <c r="J250">
        <v>19367</v>
      </c>
      <c r="K250">
        <v>96</v>
      </c>
      <c r="L250" s="14">
        <v>0.14674444862627001</v>
      </c>
      <c r="M250" t="s">
        <v>21</v>
      </c>
      <c r="N250" t="s">
        <v>375</v>
      </c>
      <c r="O250" t="s">
        <v>22</v>
      </c>
    </row>
    <row r="251" spans="1:15">
      <c r="A251" t="s">
        <v>290</v>
      </c>
      <c r="B251" t="s">
        <v>24</v>
      </c>
      <c r="C251" s="7">
        <v>45792</v>
      </c>
      <c r="D251" t="s">
        <v>15</v>
      </c>
      <c r="E251" t="s">
        <v>51</v>
      </c>
      <c r="F251">
        <v>4782</v>
      </c>
      <c r="G251">
        <v>210</v>
      </c>
      <c r="H251">
        <v>311</v>
      </c>
      <c r="I251">
        <v>29793</v>
      </c>
      <c r="J251">
        <v>37543</v>
      </c>
      <c r="K251">
        <v>145</v>
      </c>
      <c r="L251" s="14">
        <v>0.17799483100057101</v>
      </c>
      <c r="M251" t="s">
        <v>42</v>
      </c>
      <c r="N251" t="s">
        <v>375</v>
      </c>
      <c r="O251" t="s">
        <v>18</v>
      </c>
    </row>
    <row r="252" spans="1:15">
      <c r="A252" t="s">
        <v>291</v>
      </c>
      <c r="B252" t="s">
        <v>24</v>
      </c>
      <c r="C252" s="7">
        <v>45480</v>
      </c>
      <c r="D252" t="s">
        <v>15</v>
      </c>
      <c r="E252" t="s">
        <v>35</v>
      </c>
      <c r="F252">
        <v>1848</v>
      </c>
      <c r="G252">
        <v>417</v>
      </c>
      <c r="H252">
        <v>294</v>
      </c>
      <c r="I252">
        <v>57819</v>
      </c>
      <c r="J252">
        <v>19798</v>
      </c>
      <c r="K252">
        <v>262</v>
      </c>
      <c r="L252" s="14">
        <v>4.42588076583822E-2</v>
      </c>
      <c r="M252" t="s">
        <v>45</v>
      </c>
      <c r="N252" t="s">
        <v>375</v>
      </c>
      <c r="O252" t="s">
        <v>22</v>
      </c>
    </row>
    <row r="253" spans="1:15">
      <c r="A253" t="s">
        <v>292</v>
      </c>
      <c r="B253" t="s">
        <v>31</v>
      </c>
      <c r="C253" s="7">
        <v>45591</v>
      </c>
      <c r="D253" t="s">
        <v>15</v>
      </c>
      <c r="E253" t="s">
        <v>26</v>
      </c>
      <c r="F253">
        <v>4676</v>
      </c>
      <c r="G253">
        <v>211</v>
      </c>
      <c r="H253">
        <v>55</v>
      </c>
      <c r="I253">
        <v>45917</v>
      </c>
      <c r="J253">
        <v>73503</v>
      </c>
      <c r="K253">
        <v>248</v>
      </c>
      <c r="L253" s="14">
        <v>0.107628982729708</v>
      </c>
      <c r="M253" t="s">
        <v>21</v>
      </c>
      <c r="N253" t="s">
        <v>377</v>
      </c>
      <c r="O253" t="s">
        <v>22</v>
      </c>
    </row>
    <row r="254" spans="1:15">
      <c r="A254" t="s">
        <v>293</v>
      </c>
      <c r="B254" t="s">
        <v>31</v>
      </c>
      <c r="C254" s="7">
        <v>45512</v>
      </c>
      <c r="D254" t="s">
        <v>15</v>
      </c>
      <c r="E254" t="s">
        <v>49</v>
      </c>
      <c r="F254">
        <v>1994</v>
      </c>
      <c r="G254">
        <v>197</v>
      </c>
      <c r="H254">
        <v>290</v>
      </c>
      <c r="I254">
        <v>49500</v>
      </c>
      <c r="J254">
        <v>23343</v>
      </c>
      <c r="K254">
        <v>160</v>
      </c>
      <c r="L254" s="14">
        <v>5.0121212121212101E-2</v>
      </c>
      <c r="M254" t="s">
        <v>21</v>
      </c>
      <c r="N254" t="s">
        <v>377</v>
      </c>
      <c r="O254" t="s">
        <v>22</v>
      </c>
    </row>
    <row r="255" spans="1:15">
      <c r="A255" t="s">
        <v>294</v>
      </c>
      <c r="B255" t="s">
        <v>24</v>
      </c>
      <c r="C255" s="7">
        <v>45691</v>
      </c>
      <c r="D255" t="s">
        <v>15</v>
      </c>
      <c r="E255" t="s">
        <v>35</v>
      </c>
      <c r="F255">
        <v>4995</v>
      </c>
      <c r="G255">
        <v>231</v>
      </c>
      <c r="H255">
        <v>94</v>
      </c>
      <c r="I255">
        <v>34431</v>
      </c>
      <c r="J255">
        <v>32560</v>
      </c>
      <c r="K255">
        <v>262</v>
      </c>
      <c r="L255" s="14">
        <v>0.154511922395516</v>
      </c>
      <c r="M255" t="s">
        <v>42</v>
      </c>
      <c r="N255" t="s">
        <v>375</v>
      </c>
      <c r="O255" t="s">
        <v>18</v>
      </c>
    </row>
    <row r="256" spans="1:15">
      <c r="A256" t="s">
        <v>295</v>
      </c>
      <c r="B256" t="s">
        <v>24</v>
      </c>
      <c r="C256" s="7">
        <v>45385</v>
      </c>
      <c r="D256" t="s">
        <v>25</v>
      </c>
      <c r="E256" t="s">
        <v>41</v>
      </c>
      <c r="F256">
        <v>2291</v>
      </c>
      <c r="G256">
        <v>146</v>
      </c>
      <c r="H256">
        <v>399</v>
      </c>
      <c r="I256">
        <v>49319</v>
      </c>
      <c r="J256">
        <v>28056</v>
      </c>
      <c r="K256">
        <v>90</v>
      </c>
      <c r="L256" s="14">
        <v>5.7503193495407397E-2</v>
      </c>
      <c r="M256" t="s">
        <v>21</v>
      </c>
      <c r="N256" t="s">
        <v>376</v>
      </c>
      <c r="O256" t="s">
        <v>18</v>
      </c>
    </row>
    <row r="257" spans="1:15">
      <c r="A257" t="s">
        <v>296</v>
      </c>
      <c r="B257" t="s">
        <v>24</v>
      </c>
      <c r="C257" s="7">
        <v>45481</v>
      </c>
      <c r="D257" t="s">
        <v>25</v>
      </c>
      <c r="E257" t="s">
        <v>29</v>
      </c>
      <c r="F257">
        <v>2304</v>
      </c>
      <c r="G257">
        <v>289</v>
      </c>
      <c r="H257">
        <v>161</v>
      </c>
      <c r="I257">
        <v>52645</v>
      </c>
      <c r="J257">
        <v>66262</v>
      </c>
      <c r="K257">
        <v>146</v>
      </c>
      <c r="L257" s="14">
        <v>5.2312660271630701E-2</v>
      </c>
      <c r="M257" t="s">
        <v>376</v>
      </c>
      <c r="N257" t="s">
        <v>42</v>
      </c>
      <c r="O257" t="s">
        <v>18</v>
      </c>
    </row>
    <row r="258" spans="1:15">
      <c r="A258" t="s">
        <v>297</v>
      </c>
      <c r="B258" t="s">
        <v>24</v>
      </c>
      <c r="C258" s="7">
        <v>45451</v>
      </c>
      <c r="D258" t="s">
        <v>25</v>
      </c>
      <c r="E258" t="s">
        <v>41</v>
      </c>
      <c r="F258">
        <v>3413</v>
      </c>
      <c r="G258">
        <v>326</v>
      </c>
      <c r="H258">
        <v>86</v>
      </c>
      <c r="I258">
        <v>44680</v>
      </c>
      <c r="J258">
        <v>52719</v>
      </c>
      <c r="K258">
        <v>272</v>
      </c>
      <c r="L258" s="14">
        <v>8.5608773500447599E-2</v>
      </c>
      <c r="M258" t="s">
        <v>21</v>
      </c>
      <c r="N258" t="s">
        <v>376</v>
      </c>
      <c r="O258" t="s">
        <v>18</v>
      </c>
    </row>
    <row r="259" spans="1:15">
      <c r="A259" t="s">
        <v>298</v>
      </c>
      <c r="B259" t="s">
        <v>31</v>
      </c>
      <c r="C259" s="7">
        <v>45736</v>
      </c>
      <c r="D259" t="s">
        <v>57</v>
      </c>
      <c r="E259" t="s">
        <v>49</v>
      </c>
      <c r="F259">
        <v>1453</v>
      </c>
      <c r="G259">
        <v>156</v>
      </c>
      <c r="H259">
        <v>178</v>
      </c>
      <c r="I259">
        <v>52980</v>
      </c>
      <c r="J259">
        <v>57180</v>
      </c>
      <c r="K259">
        <v>286</v>
      </c>
      <c r="L259" s="14">
        <v>3.3729709324273299E-2</v>
      </c>
      <c r="M259" t="s">
        <v>21</v>
      </c>
      <c r="N259" t="s">
        <v>45</v>
      </c>
      <c r="O259" t="s">
        <v>59</v>
      </c>
    </row>
    <row r="260" spans="1:15">
      <c r="A260" t="s">
        <v>299</v>
      </c>
      <c r="B260" t="s">
        <v>24</v>
      </c>
      <c r="C260" s="7">
        <v>45676</v>
      </c>
      <c r="D260" t="s">
        <v>25</v>
      </c>
      <c r="E260" t="s">
        <v>32</v>
      </c>
      <c r="F260">
        <v>1651</v>
      </c>
      <c r="G260">
        <v>480</v>
      </c>
      <c r="H260">
        <v>282</v>
      </c>
      <c r="I260">
        <v>32140</v>
      </c>
      <c r="J260">
        <v>70560</v>
      </c>
      <c r="K260">
        <v>138</v>
      </c>
      <c r="L260" s="14">
        <v>7.5077784691972599E-2</v>
      </c>
      <c r="M260" t="s">
        <v>45</v>
      </c>
      <c r="N260" t="s">
        <v>42</v>
      </c>
      <c r="O260" t="s">
        <v>18</v>
      </c>
    </row>
    <row r="261" spans="1:15">
      <c r="A261" t="s">
        <v>300</v>
      </c>
      <c r="B261" t="s">
        <v>24</v>
      </c>
      <c r="C261" s="7">
        <v>45662</v>
      </c>
      <c r="D261" t="s">
        <v>25</v>
      </c>
      <c r="E261" t="s">
        <v>20</v>
      </c>
      <c r="F261">
        <v>3341</v>
      </c>
      <c r="G261">
        <v>154</v>
      </c>
      <c r="H261">
        <v>123</v>
      </c>
      <c r="I261">
        <v>43369</v>
      </c>
      <c r="J261">
        <v>49035</v>
      </c>
      <c r="K261">
        <v>128</v>
      </c>
      <c r="L261" s="14">
        <v>8.3423643616408E-2</v>
      </c>
      <c r="M261" t="s">
        <v>376</v>
      </c>
      <c r="N261" t="s">
        <v>42</v>
      </c>
      <c r="O261" t="s">
        <v>18</v>
      </c>
    </row>
    <row r="262" spans="1:15">
      <c r="A262" t="s">
        <v>301</v>
      </c>
      <c r="B262" t="s">
        <v>24</v>
      </c>
      <c r="C262" s="7">
        <v>45612</v>
      </c>
      <c r="D262" t="s">
        <v>15</v>
      </c>
      <c r="E262" t="s">
        <v>49</v>
      </c>
      <c r="F262">
        <v>2972</v>
      </c>
      <c r="G262">
        <v>263</v>
      </c>
      <c r="H262">
        <v>308</v>
      </c>
      <c r="I262">
        <v>51740</v>
      </c>
      <c r="J262">
        <v>28214</v>
      </c>
      <c r="K262">
        <v>190</v>
      </c>
      <c r="L262" s="14">
        <v>6.8477000386548095E-2</v>
      </c>
      <c r="M262" t="s">
        <v>45</v>
      </c>
      <c r="N262" t="s">
        <v>375</v>
      </c>
      <c r="O262" t="s">
        <v>22</v>
      </c>
    </row>
    <row r="263" spans="1:15">
      <c r="A263" t="s">
        <v>302</v>
      </c>
      <c r="B263" t="s">
        <v>24</v>
      </c>
      <c r="C263" s="7">
        <v>45626</v>
      </c>
      <c r="D263" t="s">
        <v>25</v>
      </c>
      <c r="E263" t="s">
        <v>20</v>
      </c>
      <c r="F263">
        <v>4963</v>
      </c>
      <c r="G263">
        <v>255</v>
      </c>
      <c r="H263">
        <v>193</v>
      </c>
      <c r="I263">
        <v>44386</v>
      </c>
      <c r="J263">
        <v>28415</v>
      </c>
      <c r="K263">
        <v>174</v>
      </c>
      <c r="L263" s="14">
        <v>0.121907808768531</v>
      </c>
      <c r="M263" t="s">
        <v>376</v>
      </c>
      <c r="N263" t="s">
        <v>42</v>
      </c>
      <c r="O263" t="s">
        <v>18</v>
      </c>
    </row>
    <row r="264" spans="1:15">
      <c r="A264" t="s">
        <v>303</v>
      </c>
      <c r="B264" t="s">
        <v>31</v>
      </c>
      <c r="C264" s="7">
        <v>45378</v>
      </c>
      <c r="D264" t="s">
        <v>15</v>
      </c>
      <c r="E264" t="s">
        <v>32</v>
      </c>
      <c r="F264">
        <v>2399</v>
      </c>
      <c r="G264">
        <v>191</v>
      </c>
      <c r="H264">
        <v>221</v>
      </c>
      <c r="I264">
        <v>51603</v>
      </c>
      <c r="J264">
        <v>40033</v>
      </c>
      <c r="K264">
        <v>173</v>
      </c>
      <c r="L264" s="14">
        <v>5.4473577117609397E-2</v>
      </c>
      <c r="M264" t="s">
        <v>21</v>
      </c>
      <c r="N264" t="s">
        <v>377</v>
      </c>
      <c r="O264" t="s">
        <v>22</v>
      </c>
    </row>
    <row r="265" spans="1:15">
      <c r="A265" t="s">
        <v>304</v>
      </c>
      <c r="B265" t="s">
        <v>31</v>
      </c>
      <c r="C265" s="7">
        <v>45808</v>
      </c>
      <c r="D265" t="s">
        <v>57</v>
      </c>
      <c r="E265" t="s">
        <v>37</v>
      </c>
      <c r="F265">
        <v>2162</v>
      </c>
      <c r="G265">
        <v>318</v>
      </c>
      <c r="H265">
        <v>83</v>
      </c>
      <c r="I265">
        <v>46719</v>
      </c>
      <c r="J265">
        <v>20482</v>
      </c>
      <c r="K265">
        <v>185</v>
      </c>
      <c r="L265" s="14">
        <v>5.4859907104176001E-2</v>
      </c>
      <c r="M265" t="s">
        <v>21</v>
      </c>
      <c r="N265" t="s">
        <v>45</v>
      </c>
      <c r="O265" t="s">
        <v>59</v>
      </c>
    </row>
    <row r="266" spans="1:15">
      <c r="A266" t="s">
        <v>305</v>
      </c>
      <c r="B266" t="s">
        <v>24</v>
      </c>
      <c r="C266" s="7">
        <v>45825</v>
      </c>
      <c r="D266" t="s">
        <v>25</v>
      </c>
      <c r="E266" t="s">
        <v>20</v>
      </c>
      <c r="F266">
        <v>4341</v>
      </c>
      <c r="G266">
        <v>141</v>
      </c>
      <c r="H266">
        <v>63</v>
      </c>
      <c r="I266">
        <v>50081</v>
      </c>
      <c r="J266">
        <v>27507</v>
      </c>
      <c r="K266">
        <v>221</v>
      </c>
      <c r="L266" s="14">
        <v>9.0752980172121203E-2</v>
      </c>
      <c r="M266" t="s">
        <v>21</v>
      </c>
      <c r="N266" t="s">
        <v>376</v>
      </c>
      <c r="O266" t="s">
        <v>18</v>
      </c>
    </row>
    <row r="267" spans="1:15">
      <c r="A267" t="s">
        <v>306</v>
      </c>
      <c r="B267" t="s">
        <v>14</v>
      </c>
      <c r="C267" s="7">
        <v>45442</v>
      </c>
      <c r="D267" t="s">
        <v>25</v>
      </c>
      <c r="E267" t="s">
        <v>37</v>
      </c>
      <c r="F267">
        <v>2448</v>
      </c>
      <c r="G267">
        <v>464</v>
      </c>
      <c r="H267">
        <v>98</v>
      </c>
      <c r="I267">
        <v>25737</v>
      </c>
      <c r="J267">
        <v>48545</v>
      </c>
      <c r="K267">
        <v>246</v>
      </c>
      <c r="L267" s="14">
        <v>0.116952247736721</v>
      </c>
      <c r="M267" t="s">
        <v>42</v>
      </c>
      <c r="N267" t="s">
        <v>375</v>
      </c>
      <c r="O267" t="s">
        <v>55</v>
      </c>
    </row>
    <row r="268" spans="1:15">
      <c r="A268" t="s">
        <v>307</v>
      </c>
      <c r="B268" t="s">
        <v>31</v>
      </c>
      <c r="C268" s="7">
        <v>45604</v>
      </c>
      <c r="D268" t="s">
        <v>15</v>
      </c>
      <c r="E268" t="s">
        <v>41</v>
      </c>
      <c r="F268">
        <v>2471</v>
      </c>
      <c r="G268">
        <v>166</v>
      </c>
      <c r="H268">
        <v>320</v>
      </c>
      <c r="I268">
        <v>48254</v>
      </c>
      <c r="J268">
        <v>46900</v>
      </c>
      <c r="K268">
        <v>111</v>
      </c>
      <c r="L268" s="14">
        <v>6.1279893894806599E-2</v>
      </c>
      <c r="M268" t="s">
        <v>21</v>
      </c>
      <c r="N268" t="s">
        <v>377</v>
      </c>
      <c r="O268" t="s">
        <v>22</v>
      </c>
    </row>
    <row r="269" spans="1:15">
      <c r="A269" t="s">
        <v>308</v>
      </c>
      <c r="B269" t="s">
        <v>31</v>
      </c>
      <c r="C269" s="7">
        <v>45368</v>
      </c>
      <c r="D269" t="s">
        <v>57</v>
      </c>
      <c r="E269" t="s">
        <v>20</v>
      </c>
      <c r="F269">
        <v>2692</v>
      </c>
      <c r="G269">
        <v>446</v>
      </c>
      <c r="H269">
        <v>216</v>
      </c>
      <c r="I269">
        <v>45818</v>
      </c>
      <c r="J269">
        <v>62723</v>
      </c>
      <c r="K269">
        <v>85</v>
      </c>
      <c r="L269" s="14">
        <v>7.3202671439172404E-2</v>
      </c>
      <c r="M269" t="s">
        <v>21</v>
      </c>
      <c r="N269" t="s">
        <v>45</v>
      </c>
      <c r="O269" t="s">
        <v>59</v>
      </c>
    </row>
    <row r="270" spans="1:15">
      <c r="A270" t="s">
        <v>309</v>
      </c>
      <c r="B270" t="s">
        <v>31</v>
      </c>
      <c r="C270" s="7">
        <v>45464</v>
      </c>
      <c r="D270" t="s">
        <v>57</v>
      </c>
      <c r="E270" t="s">
        <v>32</v>
      </c>
      <c r="F270">
        <v>4621</v>
      </c>
      <c r="G270">
        <v>374</v>
      </c>
      <c r="H270">
        <v>298</v>
      </c>
      <c r="I270">
        <v>56979</v>
      </c>
      <c r="J270">
        <v>24098</v>
      </c>
      <c r="K270">
        <v>205</v>
      </c>
      <c r="L270" s="14">
        <v>9.2893873181347494E-2</v>
      </c>
      <c r="M270" t="s">
        <v>21</v>
      </c>
      <c r="N270" t="s">
        <v>45</v>
      </c>
      <c r="O270" t="s">
        <v>59</v>
      </c>
    </row>
    <row r="271" spans="1:15">
      <c r="A271" t="s">
        <v>310</v>
      </c>
      <c r="B271" t="s">
        <v>24</v>
      </c>
      <c r="C271" s="7">
        <v>45609</v>
      </c>
      <c r="D271" t="s">
        <v>25</v>
      </c>
      <c r="E271" t="s">
        <v>26</v>
      </c>
      <c r="F271">
        <v>1409</v>
      </c>
      <c r="G271">
        <v>466</v>
      </c>
      <c r="H271">
        <v>105</v>
      </c>
      <c r="I271">
        <v>58923</v>
      </c>
      <c r="J271">
        <v>38753</v>
      </c>
      <c r="K271">
        <v>265</v>
      </c>
      <c r="L271" s="14">
        <v>3.3603177027646203E-2</v>
      </c>
      <c r="M271" t="s">
        <v>21</v>
      </c>
      <c r="N271" t="s">
        <v>376</v>
      </c>
      <c r="O271" t="s">
        <v>18</v>
      </c>
    </row>
    <row r="272" spans="1:15">
      <c r="A272" t="s">
        <v>311</v>
      </c>
      <c r="B272" t="s">
        <v>24</v>
      </c>
      <c r="C272" s="7">
        <v>45693</v>
      </c>
      <c r="D272" t="s">
        <v>25</v>
      </c>
      <c r="E272" t="s">
        <v>16</v>
      </c>
      <c r="F272">
        <v>3029</v>
      </c>
      <c r="G272">
        <v>440</v>
      </c>
      <c r="H272">
        <v>66</v>
      </c>
      <c r="I272">
        <v>23815</v>
      </c>
      <c r="J272">
        <v>47895</v>
      </c>
      <c r="K272">
        <v>210</v>
      </c>
      <c r="L272" s="14">
        <v>0.14843585975225701</v>
      </c>
      <c r="M272" t="s">
        <v>21</v>
      </c>
      <c r="N272" t="s">
        <v>376</v>
      </c>
      <c r="O272" t="s">
        <v>18</v>
      </c>
    </row>
    <row r="273" spans="1:15">
      <c r="A273" t="s">
        <v>312</v>
      </c>
      <c r="B273" t="s">
        <v>24</v>
      </c>
      <c r="C273" s="7">
        <v>45603</v>
      </c>
      <c r="D273" t="s">
        <v>15</v>
      </c>
      <c r="E273" t="s">
        <v>20</v>
      </c>
      <c r="F273">
        <v>2229</v>
      </c>
      <c r="G273">
        <v>395</v>
      </c>
      <c r="H273">
        <v>328</v>
      </c>
      <c r="I273">
        <v>56921</v>
      </c>
      <c r="J273">
        <v>37176</v>
      </c>
      <c r="K273">
        <v>126</v>
      </c>
      <c r="L273" s="14">
        <v>5.1861351697967399E-2</v>
      </c>
      <c r="M273" t="s">
        <v>45</v>
      </c>
      <c r="N273" t="s">
        <v>375</v>
      </c>
      <c r="O273" t="s">
        <v>22</v>
      </c>
    </row>
    <row r="274" spans="1:15">
      <c r="A274" t="s">
        <v>313</v>
      </c>
      <c r="B274" t="s">
        <v>24</v>
      </c>
      <c r="C274" s="7">
        <v>45334</v>
      </c>
      <c r="D274" t="s">
        <v>15</v>
      </c>
      <c r="E274" t="s">
        <v>20</v>
      </c>
      <c r="F274">
        <v>2691</v>
      </c>
      <c r="G274">
        <v>486</v>
      </c>
      <c r="H274">
        <v>206</v>
      </c>
      <c r="I274">
        <v>51133</v>
      </c>
      <c r="J274">
        <v>44583</v>
      </c>
      <c r="K274">
        <v>276</v>
      </c>
      <c r="L274" s="14">
        <v>6.6160796354604604E-2</v>
      </c>
      <c r="M274" t="s">
        <v>42</v>
      </c>
      <c r="N274" t="s">
        <v>375</v>
      </c>
      <c r="O274" t="s">
        <v>18</v>
      </c>
    </row>
    <row r="275" spans="1:15">
      <c r="A275" t="s">
        <v>314</v>
      </c>
      <c r="B275" t="s">
        <v>14</v>
      </c>
      <c r="C275" s="7">
        <v>45573</v>
      </c>
      <c r="D275" t="s">
        <v>15</v>
      </c>
      <c r="E275" t="s">
        <v>20</v>
      </c>
      <c r="F275">
        <v>2110</v>
      </c>
      <c r="G275">
        <v>384</v>
      </c>
      <c r="H275">
        <v>236</v>
      </c>
      <c r="I275">
        <v>49965</v>
      </c>
      <c r="J275">
        <v>61555</v>
      </c>
      <c r="K275">
        <v>195</v>
      </c>
      <c r="L275" s="14">
        <v>5.46382467727409E-2</v>
      </c>
      <c r="M275" t="s">
        <v>21</v>
      </c>
      <c r="N275" t="s">
        <v>375</v>
      </c>
      <c r="O275" t="s">
        <v>22</v>
      </c>
    </row>
    <row r="276" spans="1:15">
      <c r="A276" t="s">
        <v>315</v>
      </c>
      <c r="B276" t="s">
        <v>14</v>
      </c>
      <c r="C276" s="7">
        <v>45341</v>
      </c>
      <c r="D276" t="s">
        <v>15</v>
      </c>
      <c r="E276" t="s">
        <v>29</v>
      </c>
      <c r="F276">
        <v>4752</v>
      </c>
      <c r="G276">
        <v>449</v>
      </c>
      <c r="H276">
        <v>309</v>
      </c>
      <c r="I276">
        <v>58530</v>
      </c>
      <c r="J276">
        <v>26630</v>
      </c>
      <c r="K276">
        <v>234</v>
      </c>
      <c r="L276" s="14">
        <v>9.4139757389372997E-2</v>
      </c>
      <c r="M276" t="s">
        <v>21</v>
      </c>
      <c r="N276" t="s">
        <v>375</v>
      </c>
      <c r="O276" t="s">
        <v>22</v>
      </c>
    </row>
    <row r="277" spans="1:15">
      <c r="A277" t="s">
        <v>316</v>
      </c>
      <c r="B277" t="s">
        <v>24</v>
      </c>
      <c r="C277" s="7">
        <v>45720</v>
      </c>
      <c r="D277" t="s">
        <v>15</v>
      </c>
      <c r="E277" t="s">
        <v>16</v>
      </c>
      <c r="F277">
        <v>2177</v>
      </c>
      <c r="G277">
        <v>258</v>
      </c>
      <c r="H277">
        <v>292</v>
      </c>
      <c r="I277">
        <v>47276</v>
      </c>
      <c r="J277">
        <v>51324</v>
      </c>
      <c r="K277">
        <v>143</v>
      </c>
      <c r="L277" s="14">
        <v>5.7682545054573202E-2</v>
      </c>
      <c r="M277" t="s">
        <v>42</v>
      </c>
      <c r="N277" t="s">
        <v>375</v>
      </c>
      <c r="O277" t="s">
        <v>18</v>
      </c>
    </row>
    <row r="278" spans="1:15">
      <c r="A278" t="s">
        <v>317</v>
      </c>
      <c r="B278" t="s">
        <v>14</v>
      </c>
      <c r="C278" s="7">
        <v>45691</v>
      </c>
      <c r="D278" t="s">
        <v>25</v>
      </c>
      <c r="E278" t="s">
        <v>26</v>
      </c>
      <c r="F278">
        <v>1205</v>
      </c>
      <c r="G278">
        <v>486</v>
      </c>
      <c r="H278">
        <v>269</v>
      </c>
      <c r="I278">
        <v>23341</v>
      </c>
      <c r="J278">
        <v>42411</v>
      </c>
      <c r="K278">
        <v>184</v>
      </c>
      <c r="L278" s="14">
        <v>8.3972409065592696E-2</v>
      </c>
      <c r="M278" t="s">
        <v>42</v>
      </c>
      <c r="N278" t="s">
        <v>375</v>
      </c>
      <c r="O278" t="s">
        <v>55</v>
      </c>
    </row>
    <row r="279" spans="1:15">
      <c r="A279" t="s">
        <v>318</v>
      </c>
      <c r="B279" t="s">
        <v>14</v>
      </c>
      <c r="C279" s="7">
        <v>45628</v>
      </c>
      <c r="D279" t="s">
        <v>15</v>
      </c>
      <c r="E279" t="s">
        <v>41</v>
      </c>
      <c r="F279">
        <v>3194</v>
      </c>
      <c r="G279">
        <v>292</v>
      </c>
      <c r="H279">
        <v>245</v>
      </c>
      <c r="I279">
        <v>56371</v>
      </c>
      <c r="J279">
        <v>65597</v>
      </c>
      <c r="K279">
        <v>163</v>
      </c>
      <c r="L279" s="14">
        <v>6.6186514342481101E-2</v>
      </c>
      <c r="M279" t="s">
        <v>45</v>
      </c>
      <c r="N279" t="s">
        <v>42</v>
      </c>
      <c r="O279" t="s">
        <v>18</v>
      </c>
    </row>
    <row r="280" spans="1:15">
      <c r="A280" t="s">
        <v>319</v>
      </c>
      <c r="B280" t="s">
        <v>24</v>
      </c>
      <c r="C280" s="7">
        <v>45676</v>
      </c>
      <c r="D280" t="s">
        <v>25</v>
      </c>
      <c r="E280" t="s">
        <v>26</v>
      </c>
      <c r="F280">
        <v>3507</v>
      </c>
      <c r="G280">
        <v>295</v>
      </c>
      <c r="H280">
        <v>371</v>
      </c>
      <c r="I280">
        <v>20410</v>
      </c>
      <c r="J280">
        <v>53965</v>
      </c>
      <c r="K280">
        <v>212</v>
      </c>
      <c r="L280" s="14">
        <v>0.20445859872611499</v>
      </c>
      <c r="M280" t="s">
        <v>45</v>
      </c>
      <c r="N280" t="s">
        <v>42</v>
      </c>
      <c r="O280" t="s">
        <v>18</v>
      </c>
    </row>
    <row r="281" spans="1:15">
      <c r="A281" t="s">
        <v>320</v>
      </c>
      <c r="B281" t="s">
        <v>24</v>
      </c>
      <c r="C281" s="7">
        <v>45563</v>
      </c>
      <c r="D281" t="s">
        <v>25</v>
      </c>
      <c r="E281" t="s">
        <v>29</v>
      </c>
      <c r="F281">
        <v>4471</v>
      </c>
      <c r="G281">
        <v>317</v>
      </c>
      <c r="H281">
        <v>249</v>
      </c>
      <c r="I281">
        <v>44862</v>
      </c>
      <c r="J281">
        <v>33365</v>
      </c>
      <c r="K281">
        <v>184</v>
      </c>
      <c r="L281" s="14">
        <v>0.11227765146449099</v>
      </c>
      <c r="M281" t="s">
        <v>21</v>
      </c>
      <c r="N281" t="s">
        <v>376</v>
      </c>
      <c r="O281" t="s">
        <v>18</v>
      </c>
    </row>
    <row r="282" spans="1:15">
      <c r="A282" t="s">
        <v>321</v>
      </c>
      <c r="B282" t="s">
        <v>14</v>
      </c>
      <c r="C282" s="7">
        <v>45298</v>
      </c>
      <c r="D282" t="s">
        <v>15</v>
      </c>
      <c r="E282" t="s">
        <v>41</v>
      </c>
      <c r="F282">
        <v>4931</v>
      </c>
      <c r="G282">
        <v>469</v>
      </c>
      <c r="H282">
        <v>193</v>
      </c>
      <c r="I282">
        <v>56701</v>
      </c>
      <c r="J282">
        <v>69437</v>
      </c>
      <c r="K282">
        <v>291</v>
      </c>
      <c r="L282" s="14">
        <v>9.8640235621946695E-2</v>
      </c>
      <c r="M282" t="s">
        <v>45</v>
      </c>
      <c r="N282" t="s">
        <v>42</v>
      </c>
      <c r="O282" t="s">
        <v>18</v>
      </c>
    </row>
    <row r="283" spans="1:15">
      <c r="A283" t="s">
        <v>322</v>
      </c>
      <c r="B283" t="s">
        <v>24</v>
      </c>
      <c r="C283" s="7">
        <v>45343</v>
      </c>
      <c r="D283" t="s">
        <v>25</v>
      </c>
      <c r="E283" t="s">
        <v>37</v>
      </c>
      <c r="F283">
        <v>2604</v>
      </c>
      <c r="G283">
        <v>439</v>
      </c>
      <c r="H283">
        <v>148</v>
      </c>
      <c r="I283">
        <v>58468</v>
      </c>
      <c r="J283">
        <v>39629</v>
      </c>
      <c r="K283">
        <v>163</v>
      </c>
      <c r="L283" s="14">
        <v>5.4576862557296303E-2</v>
      </c>
      <c r="M283" t="s">
        <v>376</v>
      </c>
      <c r="N283" t="s">
        <v>42</v>
      </c>
      <c r="O283" t="s">
        <v>18</v>
      </c>
    </row>
    <row r="284" spans="1:15">
      <c r="A284" t="s">
        <v>323</v>
      </c>
      <c r="B284" t="s">
        <v>14</v>
      </c>
      <c r="C284" s="7">
        <v>45531</v>
      </c>
      <c r="D284" t="s">
        <v>15</v>
      </c>
      <c r="E284" t="s">
        <v>32</v>
      </c>
      <c r="F284">
        <v>4197</v>
      </c>
      <c r="G284">
        <v>359</v>
      </c>
      <c r="H284">
        <v>280</v>
      </c>
      <c r="I284">
        <v>56048</v>
      </c>
      <c r="J284">
        <v>70930</v>
      </c>
      <c r="K284">
        <v>295</v>
      </c>
      <c r="L284" s="14">
        <v>8.6283185840708002E-2</v>
      </c>
      <c r="M284" t="s">
        <v>21</v>
      </c>
      <c r="N284" t="s">
        <v>375</v>
      </c>
      <c r="O284" t="s">
        <v>22</v>
      </c>
    </row>
    <row r="285" spans="1:15">
      <c r="A285" t="s">
        <v>324</v>
      </c>
      <c r="B285" t="s">
        <v>14</v>
      </c>
      <c r="C285" s="7">
        <v>45589</v>
      </c>
      <c r="D285" t="s">
        <v>25</v>
      </c>
      <c r="E285" t="s">
        <v>41</v>
      </c>
      <c r="F285">
        <v>1914</v>
      </c>
      <c r="G285">
        <v>255</v>
      </c>
      <c r="H285">
        <v>156</v>
      </c>
      <c r="I285">
        <v>27660</v>
      </c>
      <c r="J285">
        <v>47776</v>
      </c>
      <c r="K285">
        <v>111</v>
      </c>
      <c r="L285" s="14">
        <v>8.4056399132321005E-2</v>
      </c>
      <c r="M285" t="s">
        <v>42</v>
      </c>
      <c r="N285" t="s">
        <v>375</v>
      </c>
      <c r="O285" t="s">
        <v>55</v>
      </c>
    </row>
    <row r="286" spans="1:15">
      <c r="A286" t="s">
        <v>325</v>
      </c>
      <c r="B286" t="s">
        <v>31</v>
      </c>
      <c r="C286" s="7">
        <v>45686</v>
      </c>
      <c r="D286" t="s">
        <v>15</v>
      </c>
      <c r="E286" t="s">
        <v>26</v>
      </c>
      <c r="F286">
        <v>1334</v>
      </c>
      <c r="G286">
        <v>357</v>
      </c>
      <c r="H286">
        <v>257</v>
      </c>
      <c r="I286">
        <v>56910</v>
      </c>
      <c r="J286">
        <v>70606</v>
      </c>
      <c r="K286">
        <v>228</v>
      </c>
      <c r="L286" s="14">
        <v>3.42294851519944E-2</v>
      </c>
      <c r="M286" t="s">
        <v>21</v>
      </c>
      <c r="N286" t="s">
        <v>377</v>
      </c>
      <c r="O286" t="s">
        <v>22</v>
      </c>
    </row>
    <row r="287" spans="1:15">
      <c r="A287" t="s">
        <v>326</v>
      </c>
      <c r="B287" t="s">
        <v>14</v>
      </c>
      <c r="C287" s="7">
        <v>45413</v>
      </c>
      <c r="D287" t="s">
        <v>15</v>
      </c>
      <c r="E287" t="s">
        <v>37</v>
      </c>
      <c r="F287">
        <v>3359</v>
      </c>
      <c r="G287">
        <v>137</v>
      </c>
      <c r="H287">
        <v>387</v>
      </c>
      <c r="I287">
        <v>33861</v>
      </c>
      <c r="J287">
        <v>47257</v>
      </c>
      <c r="K287">
        <v>198</v>
      </c>
      <c r="L287" s="14">
        <v>0.114674699506807</v>
      </c>
      <c r="M287" t="s">
        <v>21</v>
      </c>
      <c r="N287" t="s">
        <v>375</v>
      </c>
      <c r="O287" t="s">
        <v>22</v>
      </c>
    </row>
    <row r="288" spans="1:15">
      <c r="A288" t="s">
        <v>327</v>
      </c>
      <c r="B288" t="s">
        <v>31</v>
      </c>
      <c r="C288" s="7">
        <v>45468</v>
      </c>
      <c r="D288" t="s">
        <v>15</v>
      </c>
      <c r="E288" t="s">
        <v>51</v>
      </c>
      <c r="F288">
        <v>2172</v>
      </c>
      <c r="G288">
        <v>338</v>
      </c>
      <c r="H288">
        <v>70</v>
      </c>
      <c r="I288">
        <v>30515</v>
      </c>
      <c r="J288">
        <v>57853</v>
      </c>
      <c r="K288">
        <v>156</v>
      </c>
      <c r="L288" s="14">
        <v>8.4548582664263502E-2</v>
      </c>
      <c r="M288" t="s">
        <v>21</v>
      </c>
      <c r="N288" t="s">
        <v>377</v>
      </c>
      <c r="O288" t="s">
        <v>22</v>
      </c>
    </row>
    <row r="289" spans="1:15">
      <c r="A289" t="s">
        <v>328</v>
      </c>
      <c r="B289" t="s">
        <v>24</v>
      </c>
      <c r="C289" s="7">
        <v>45513</v>
      </c>
      <c r="D289" t="s">
        <v>25</v>
      </c>
      <c r="E289" t="s">
        <v>49</v>
      </c>
      <c r="F289">
        <v>4877</v>
      </c>
      <c r="G289">
        <v>442</v>
      </c>
      <c r="H289">
        <v>236</v>
      </c>
      <c r="I289">
        <v>52673</v>
      </c>
      <c r="J289">
        <v>48241</v>
      </c>
      <c r="K289">
        <v>114</v>
      </c>
      <c r="L289" s="14">
        <v>0.10546200140489401</v>
      </c>
      <c r="M289" t="s">
        <v>21</v>
      </c>
      <c r="N289" t="s">
        <v>376</v>
      </c>
      <c r="O289" t="s">
        <v>18</v>
      </c>
    </row>
    <row r="290" spans="1:15">
      <c r="A290" t="s">
        <v>329</v>
      </c>
      <c r="B290" t="s">
        <v>14</v>
      </c>
      <c r="C290" s="7">
        <v>45678</v>
      </c>
      <c r="D290" t="s">
        <v>25</v>
      </c>
      <c r="E290" t="s">
        <v>26</v>
      </c>
      <c r="F290">
        <v>4918</v>
      </c>
      <c r="G290">
        <v>440</v>
      </c>
      <c r="H290">
        <v>149</v>
      </c>
      <c r="I290">
        <v>53269</v>
      </c>
      <c r="J290">
        <v>64370</v>
      </c>
      <c r="K290">
        <v>269</v>
      </c>
      <c r="L290" s="14">
        <v>0.103380953274888</v>
      </c>
      <c r="M290" t="s">
        <v>42</v>
      </c>
      <c r="N290" t="s">
        <v>375</v>
      </c>
      <c r="O290" t="s">
        <v>55</v>
      </c>
    </row>
    <row r="291" spans="1:15">
      <c r="A291" t="s">
        <v>330</v>
      </c>
      <c r="B291" t="s">
        <v>24</v>
      </c>
      <c r="C291" s="7">
        <v>45517</v>
      </c>
      <c r="D291" t="s">
        <v>15</v>
      </c>
      <c r="E291" t="s">
        <v>20</v>
      </c>
      <c r="F291">
        <v>3418</v>
      </c>
      <c r="G291">
        <v>107</v>
      </c>
      <c r="H291">
        <v>221</v>
      </c>
      <c r="I291">
        <v>23927</v>
      </c>
      <c r="J291">
        <v>26182</v>
      </c>
      <c r="K291">
        <v>155</v>
      </c>
      <c r="L291" s="14">
        <v>0.15655953525306099</v>
      </c>
      <c r="M291" t="s">
        <v>45</v>
      </c>
      <c r="N291" t="s">
        <v>375</v>
      </c>
      <c r="O291" t="s">
        <v>22</v>
      </c>
    </row>
    <row r="292" spans="1:15">
      <c r="A292" t="s">
        <v>331</v>
      </c>
      <c r="B292" t="s">
        <v>14</v>
      </c>
      <c r="C292" s="7">
        <v>45472</v>
      </c>
      <c r="D292" t="s">
        <v>15</v>
      </c>
      <c r="E292" t="s">
        <v>51</v>
      </c>
      <c r="F292">
        <v>2088</v>
      </c>
      <c r="G292">
        <v>490</v>
      </c>
      <c r="H292">
        <v>124</v>
      </c>
      <c r="I292">
        <v>46544</v>
      </c>
      <c r="J292">
        <v>69346</v>
      </c>
      <c r="K292">
        <v>178</v>
      </c>
      <c r="L292" s="14">
        <v>5.8052595393606E-2</v>
      </c>
      <c r="M292" t="s">
        <v>45</v>
      </c>
      <c r="N292" t="s">
        <v>42</v>
      </c>
      <c r="O292" t="s">
        <v>18</v>
      </c>
    </row>
    <row r="293" spans="1:15">
      <c r="A293" t="s">
        <v>332</v>
      </c>
      <c r="B293" t="s">
        <v>24</v>
      </c>
      <c r="C293" s="7">
        <v>45599</v>
      </c>
      <c r="D293" t="s">
        <v>25</v>
      </c>
      <c r="E293" t="s">
        <v>20</v>
      </c>
      <c r="F293">
        <v>3061</v>
      </c>
      <c r="G293">
        <v>320</v>
      </c>
      <c r="H293">
        <v>76</v>
      </c>
      <c r="I293">
        <v>26640</v>
      </c>
      <c r="J293">
        <v>24306</v>
      </c>
      <c r="K293">
        <v>112</v>
      </c>
      <c r="L293" s="14">
        <v>0.12976726726726701</v>
      </c>
      <c r="M293" t="s">
        <v>376</v>
      </c>
      <c r="N293" t="s">
        <v>42</v>
      </c>
      <c r="O293" t="s">
        <v>18</v>
      </c>
    </row>
    <row r="294" spans="1:15">
      <c r="A294" t="s">
        <v>333</v>
      </c>
      <c r="B294" t="s">
        <v>31</v>
      </c>
      <c r="C294" s="7">
        <v>45765</v>
      </c>
      <c r="D294" t="s">
        <v>57</v>
      </c>
      <c r="E294" t="s">
        <v>51</v>
      </c>
      <c r="F294">
        <v>1265</v>
      </c>
      <c r="G294">
        <v>230</v>
      </c>
      <c r="H294">
        <v>364</v>
      </c>
      <c r="I294">
        <v>41312</v>
      </c>
      <c r="J294">
        <v>50382</v>
      </c>
      <c r="K294">
        <v>106</v>
      </c>
      <c r="L294" s="14">
        <v>4.4999031758326903E-2</v>
      </c>
      <c r="M294" t="s">
        <v>21</v>
      </c>
      <c r="N294" t="s">
        <v>45</v>
      </c>
      <c r="O294" t="s">
        <v>59</v>
      </c>
    </row>
    <row r="295" spans="1:15">
      <c r="A295" t="s">
        <v>334</v>
      </c>
      <c r="B295" t="s">
        <v>14</v>
      </c>
      <c r="C295" s="7">
        <v>45653</v>
      </c>
      <c r="D295" t="s">
        <v>15</v>
      </c>
      <c r="E295" t="s">
        <v>49</v>
      </c>
      <c r="F295">
        <v>1436</v>
      </c>
      <c r="G295">
        <v>219</v>
      </c>
      <c r="H295">
        <v>229</v>
      </c>
      <c r="I295">
        <v>58488</v>
      </c>
      <c r="J295">
        <v>24314</v>
      </c>
      <c r="K295">
        <v>147</v>
      </c>
      <c r="L295" s="14">
        <v>3.2211735740664799E-2</v>
      </c>
      <c r="M295" t="s">
        <v>21</v>
      </c>
      <c r="N295" t="s">
        <v>375</v>
      </c>
      <c r="O295" t="s">
        <v>22</v>
      </c>
    </row>
    <row r="296" spans="1:15">
      <c r="A296" t="s">
        <v>335</v>
      </c>
      <c r="B296" t="s">
        <v>14</v>
      </c>
      <c r="C296" s="7">
        <v>45724</v>
      </c>
      <c r="D296" t="s">
        <v>25</v>
      </c>
      <c r="E296" t="s">
        <v>41</v>
      </c>
      <c r="F296">
        <v>2244</v>
      </c>
      <c r="G296">
        <v>392</v>
      </c>
      <c r="H296">
        <v>231</v>
      </c>
      <c r="I296">
        <v>25834</v>
      </c>
      <c r="J296">
        <v>50906</v>
      </c>
      <c r="K296">
        <v>165</v>
      </c>
      <c r="L296" s="14">
        <v>0.110977781218549</v>
      </c>
      <c r="M296" t="s">
        <v>42</v>
      </c>
      <c r="N296" t="s">
        <v>375</v>
      </c>
      <c r="O296" t="s">
        <v>55</v>
      </c>
    </row>
    <row r="297" spans="1:15">
      <c r="A297" t="s">
        <v>336</v>
      </c>
      <c r="B297" t="s">
        <v>24</v>
      </c>
      <c r="C297" s="7">
        <v>45736</v>
      </c>
      <c r="D297" t="s">
        <v>25</v>
      </c>
      <c r="E297" t="s">
        <v>51</v>
      </c>
      <c r="F297">
        <v>3393</v>
      </c>
      <c r="G297">
        <v>104</v>
      </c>
      <c r="H297">
        <v>79</v>
      </c>
      <c r="I297">
        <v>30025</v>
      </c>
      <c r="J297">
        <v>21593</v>
      </c>
      <c r="K297">
        <v>165</v>
      </c>
      <c r="L297" s="14">
        <v>0.11910074937552</v>
      </c>
      <c r="M297" t="s">
        <v>376</v>
      </c>
      <c r="N297" t="s">
        <v>42</v>
      </c>
      <c r="O297" t="s">
        <v>18</v>
      </c>
    </row>
    <row r="298" spans="1:15">
      <c r="A298" t="s">
        <v>337</v>
      </c>
      <c r="B298" t="s">
        <v>24</v>
      </c>
      <c r="C298" s="7">
        <v>45612</v>
      </c>
      <c r="D298" t="s">
        <v>15</v>
      </c>
      <c r="E298" t="s">
        <v>20</v>
      </c>
      <c r="F298">
        <v>2901</v>
      </c>
      <c r="G298">
        <v>108</v>
      </c>
      <c r="H298">
        <v>86</v>
      </c>
      <c r="I298">
        <v>51777</v>
      </c>
      <c r="J298">
        <v>23773</v>
      </c>
      <c r="K298">
        <v>160</v>
      </c>
      <c r="L298" s="14">
        <v>5.9775576027966099E-2</v>
      </c>
      <c r="M298" t="s">
        <v>45</v>
      </c>
      <c r="N298" t="s">
        <v>375</v>
      </c>
      <c r="O298" t="s">
        <v>22</v>
      </c>
    </row>
    <row r="299" spans="1:15">
      <c r="A299" t="s">
        <v>338</v>
      </c>
      <c r="B299" t="s">
        <v>24</v>
      </c>
      <c r="C299" s="7">
        <v>45838</v>
      </c>
      <c r="D299" t="s">
        <v>15</v>
      </c>
      <c r="E299" t="s">
        <v>35</v>
      </c>
      <c r="F299">
        <v>2275</v>
      </c>
      <c r="G299">
        <v>285</v>
      </c>
      <c r="H299">
        <v>125</v>
      </c>
      <c r="I299">
        <v>43970</v>
      </c>
      <c r="J299">
        <v>74761</v>
      </c>
      <c r="K299">
        <v>83</v>
      </c>
      <c r="L299" s="14">
        <v>6.1064362065044397E-2</v>
      </c>
      <c r="M299" t="s">
        <v>42</v>
      </c>
      <c r="N299" t="s">
        <v>375</v>
      </c>
      <c r="O299" t="s">
        <v>18</v>
      </c>
    </row>
    <row r="300" spans="1:15">
      <c r="A300" t="s">
        <v>339</v>
      </c>
      <c r="B300" t="s">
        <v>24</v>
      </c>
      <c r="C300" s="7">
        <v>45303</v>
      </c>
      <c r="D300" t="s">
        <v>25</v>
      </c>
      <c r="E300" t="s">
        <v>29</v>
      </c>
      <c r="F300">
        <v>2227</v>
      </c>
      <c r="G300">
        <v>494</v>
      </c>
      <c r="H300">
        <v>161</v>
      </c>
      <c r="I300">
        <v>51651</v>
      </c>
      <c r="J300">
        <v>68074</v>
      </c>
      <c r="K300">
        <v>240</v>
      </c>
      <c r="L300" s="14">
        <v>5.5797564422760397E-2</v>
      </c>
      <c r="M300" t="s">
        <v>21</v>
      </c>
      <c r="N300" t="s">
        <v>376</v>
      </c>
      <c r="O300" t="s">
        <v>18</v>
      </c>
    </row>
    <row r="301" spans="1:15">
      <c r="A301" t="s">
        <v>340</v>
      </c>
      <c r="B301" t="s">
        <v>14</v>
      </c>
      <c r="C301" s="7">
        <v>45329</v>
      </c>
      <c r="D301" t="s">
        <v>15</v>
      </c>
      <c r="E301" t="s">
        <v>32</v>
      </c>
      <c r="F301">
        <v>1883</v>
      </c>
      <c r="G301">
        <v>432</v>
      </c>
      <c r="H301">
        <v>397</v>
      </c>
      <c r="I301">
        <v>28759</v>
      </c>
      <c r="J301">
        <v>18691</v>
      </c>
      <c r="K301">
        <v>270</v>
      </c>
      <c r="L301" s="14">
        <v>9.43009144963316E-2</v>
      </c>
      <c r="M301" t="s">
        <v>45</v>
      </c>
      <c r="N301" t="s">
        <v>42</v>
      </c>
      <c r="O301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AC2A-0236-4EC1-A005-CE1119AC9192}">
  <dimension ref="A1:O11"/>
  <sheetViews>
    <sheetView topLeftCell="F1" workbookViewId="0">
      <selection activeCell="L15" sqref="L15"/>
    </sheetView>
  </sheetViews>
  <sheetFormatPr defaultRowHeight="14.4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8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8.109375" style="8" bestFit="1" customWidth="1"/>
    <col min="13" max="13" width="17.21875" bestFit="1" customWidth="1"/>
    <col min="14" max="14" width="17.109375" bestFit="1" customWidth="1"/>
    <col min="15" max="15" width="17.7773437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8" t="s">
        <v>378</v>
      </c>
      <c r="M1" t="s">
        <v>373</v>
      </c>
      <c r="N1" t="s">
        <v>374</v>
      </c>
      <c r="O1" t="s">
        <v>12</v>
      </c>
    </row>
    <row r="2" spans="1:15">
      <c r="A2" t="s">
        <v>36</v>
      </c>
      <c r="B2" t="s">
        <v>24</v>
      </c>
      <c r="C2" s="7">
        <v>45645</v>
      </c>
      <c r="D2" t="s">
        <v>25</v>
      </c>
      <c r="E2" t="s">
        <v>37</v>
      </c>
      <c r="F2">
        <v>4674</v>
      </c>
      <c r="G2">
        <v>409</v>
      </c>
      <c r="H2">
        <v>327</v>
      </c>
      <c r="I2">
        <v>20756</v>
      </c>
      <c r="J2">
        <v>63599</v>
      </c>
      <c r="K2">
        <v>212</v>
      </c>
      <c r="L2" s="8">
        <v>0.26064752360763199</v>
      </c>
      <c r="M2" t="s">
        <v>45</v>
      </c>
      <c r="N2" t="s">
        <v>42</v>
      </c>
      <c r="O2" t="s">
        <v>18</v>
      </c>
    </row>
    <row r="3" spans="1:15">
      <c r="A3" t="s">
        <v>146</v>
      </c>
      <c r="B3" t="s">
        <v>24</v>
      </c>
      <c r="C3" s="7">
        <v>45677</v>
      </c>
      <c r="D3" t="s">
        <v>25</v>
      </c>
      <c r="E3" t="s">
        <v>26</v>
      </c>
      <c r="F3">
        <v>4619</v>
      </c>
      <c r="G3">
        <v>272</v>
      </c>
      <c r="H3">
        <v>57</v>
      </c>
      <c r="I3">
        <v>21334</v>
      </c>
      <c r="J3">
        <v>46292</v>
      </c>
      <c r="K3">
        <v>91</v>
      </c>
      <c r="L3" s="8">
        <v>0.23193025217961899</v>
      </c>
      <c r="M3" t="s">
        <v>45</v>
      </c>
      <c r="N3" t="s">
        <v>42</v>
      </c>
      <c r="O3" t="s">
        <v>18</v>
      </c>
    </row>
    <row r="4" spans="1:15">
      <c r="A4" t="s">
        <v>226</v>
      </c>
      <c r="B4" t="s">
        <v>24</v>
      </c>
      <c r="C4" s="7">
        <v>45459</v>
      </c>
      <c r="D4" t="s">
        <v>25</v>
      </c>
      <c r="E4" t="s">
        <v>20</v>
      </c>
      <c r="F4">
        <v>4618</v>
      </c>
      <c r="G4">
        <v>312</v>
      </c>
      <c r="H4">
        <v>254</v>
      </c>
      <c r="I4">
        <v>22571</v>
      </c>
      <c r="J4">
        <v>29453</v>
      </c>
      <c r="K4">
        <v>197</v>
      </c>
      <c r="L4" s="8">
        <v>0.229675246998361</v>
      </c>
      <c r="M4" t="s">
        <v>376</v>
      </c>
      <c r="N4" t="s">
        <v>42</v>
      </c>
      <c r="O4" t="s">
        <v>18</v>
      </c>
    </row>
    <row r="5" spans="1:15">
      <c r="A5" t="s">
        <v>319</v>
      </c>
      <c r="B5" t="s">
        <v>24</v>
      </c>
      <c r="C5" s="7">
        <v>45676</v>
      </c>
      <c r="D5" t="s">
        <v>25</v>
      </c>
      <c r="E5" t="s">
        <v>26</v>
      </c>
      <c r="F5">
        <v>3507</v>
      </c>
      <c r="G5">
        <v>295</v>
      </c>
      <c r="H5">
        <v>371</v>
      </c>
      <c r="I5">
        <v>20410</v>
      </c>
      <c r="J5">
        <v>53965</v>
      </c>
      <c r="K5">
        <v>212</v>
      </c>
      <c r="L5" s="8">
        <v>0.20445859872611499</v>
      </c>
      <c r="M5" t="s">
        <v>45</v>
      </c>
      <c r="N5" t="s">
        <v>42</v>
      </c>
      <c r="O5" t="s">
        <v>18</v>
      </c>
    </row>
    <row r="6" spans="1:15">
      <c r="A6" t="s">
        <v>90</v>
      </c>
      <c r="B6" t="s">
        <v>24</v>
      </c>
      <c r="C6" s="7">
        <v>45769</v>
      </c>
      <c r="D6" t="s">
        <v>15</v>
      </c>
      <c r="E6" t="s">
        <v>16</v>
      </c>
      <c r="F6">
        <v>4401</v>
      </c>
      <c r="G6">
        <v>421</v>
      </c>
      <c r="H6">
        <v>216</v>
      </c>
      <c r="I6">
        <v>24890</v>
      </c>
      <c r="J6">
        <v>54361</v>
      </c>
      <c r="K6">
        <v>148</v>
      </c>
      <c r="L6" s="8">
        <v>0.20241060666934499</v>
      </c>
      <c r="M6" t="s">
        <v>42</v>
      </c>
      <c r="N6" t="s">
        <v>375</v>
      </c>
      <c r="O6" t="s">
        <v>18</v>
      </c>
    </row>
    <row r="7" spans="1:15">
      <c r="A7" t="s">
        <v>62</v>
      </c>
      <c r="B7" t="s">
        <v>14</v>
      </c>
      <c r="C7" s="7">
        <v>45823</v>
      </c>
      <c r="D7" t="s">
        <v>15</v>
      </c>
      <c r="E7" t="s">
        <v>35</v>
      </c>
      <c r="F7">
        <v>4896</v>
      </c>
      <c r="G7">
        <v>466</v>
      </c>
      <c r="H7">
        <v>233</v>
      </c>
      <c r="I7">
        <v>28621</v>
      </c>
      <c r="J7">
        <v>34270</v>
      </c>
      <c r="K7">
        <v>84</v>
      </c>
      <c r="L7" s="8">
        <v>0.19548583208133899</v>
      </c>
      <c r="M7" t="s">
        <v>45</v>
      </c>
      <c r="N7" t="s">
        <v>42</v>
      </c>
      <c r="O7" t="s">
        <v>18</v>
      </c>
    </row>
    <row r="8" spans="1:15">
      <c r="A8" t="s">
        <v>197</v>
      </c>
      <c r="B8" t="s">
        <v>31</v>
      </c>
      <c r="C8" s="7">
        <v>45718</v>
      </c>
      <c r="D8" t="s">
        <v>15</v>
      </c>
      <c r="E8" t="s">
        <v>49</v>
      </c>
      <c r="F8">
        <v>4425</v>
      </c>
      <c r="G8">
        <v>185</v>
      </c>
      <c r="H8">
        <v>162</v>
      </c>
      <c r="I8">
        <v>24610</v>
      </c>
      <c r="J8">
        <v>21342</v>
      </c>
      <c r="K8">
        <v>158</v>
      </c>
      <c r="L8" s="8">
        <v>0.19390491670052801</v>
      </c>
      <c r="M8" t="s">
        <v>21</v>
      </c>
      <c r="N8" t="s">
        <v>377</v>
      </c>
      <c r="O8" t="s">
        <v>22</v>
      </c>
    </row>
    <row r="9" spans="1:15">
      <c r="A9" t="s">
        <v>288</v>
      </c>
      <c r="B9" t="s">
        <v>31</v>
      </c>
      <c r="C9" s="7">
        <v>45457</v>
      </c>
      <c r="D9" t="s">
        <v>57</v>
      </c>
      <c r="E9" t="s">
        <v>29</v>
      </c>
      <c r="F9">
        <v>4722</v>
      </c>
      <c r="G9">
        <v>310</v>
      </c>
      <c r="H9">
        <v>344</v>
      </c>
      <c r="I9">
        <v>27911</v>
      </c>
      <c r="J9">
        <v>19000</v>
      </c>
      <c r="K9">
        <v>225</v>
      </c>
      <c r="L9" s="8">
        <v>0.19261223173659101</v>
      </c>
      <c r="M9" t="s">
        <v>21</v>
      </c>
      <c r="N9" t="s">
        <v>45</v>
      </c>
      <c r="O9" t="s">
        <v>59</v>
      </c>
    </row>
    <row r="10" spans="1:15">
      <c r="A10" t="s">
        <v>176</v>
      </c>
      <c r="B10" t="s">
        <v>24</v>
      </c>
      <c r="C10" s="7">
        <v>45615</v>
      </c>
      <c r="D10" t="s">
        <v>15</v>
      </c>
      <c r="E10" t="s">
        <v>41</v>
      </c>
      <c r="F10">
        <v>3728</v>
      </c>
      <c r="G10">
        <v>271</v>
      </c>
      <c r="H10">
        <v>275</v>
      </c>
      <c r="I10">
        <v>22827</v>
      </c>
      <c r="J10">
        <v>37034</v>
      </c>
      <c r="K10">
        <v>199</v>
      </c>
      <c r="L10" s="8">
        <v>0.18723441538528901</v>
      </c>
      <c r="M10" t="s">
        <v>42</v>
      </c>
      <c r="N10" t="s">
        <v>375</v>
      </c>
      <c r="O10" t="s">
        <v>18</v>
      </c>
    </row>
    <row r="11" spans="1:15">
      <c r="A11" t="s">
        <v>108</v>
      </c>
      <c r="B11" t="s">
        <v>24</v>
      </c>
      <c r="C11" s="7">
        <v>45379</v>
      </c>
      <c r="D11" t="s">
        <v>15</v>
      </c>
      <c r="E11" t="s">
        <v>32</v>
      </c>
      <c r="F11">
        <v>3276</v>
      </c>
      <c r="G11">
        <v>421</v>
      </c>
      <c r="H11">
        <v>114</v>
      </c>
      <c r="I11">
        <v>20580</v>
      </c>
      <c r="J11">
        <v>30324</v>
      </c>
      <c r="K11">
        <v>221</v>
      </c>
      <c r="L11" s="8">
        <v>0.18517978620019401</v>
      </c>
      <c r="M11" t="s">
        <v>45</v>
      </c>
      <c r="N11" t="s">
        <v>375</v>
      </c>
      <c r="O11" t="s">
        <v>22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CAA0E-3EF4-4B9F-ADAD-BDD503BE37B7}">
  <dimension ref="A3:F26"/>
  <sheetViews>
    <sheetView workbookViewId="0">
      <selection activeCell="A4" sqref="A4"/>
    </sheetView>
  </sheetViews>
  <sheetFormatPr defaultRowHeight="14.4"/>
  <cols>
    <col min="1" max="1" width="32" bestFit="1" customWidth="1"/>
    <col min="2" max="2" width="15.33203125" bestFit="1" customWidth="1"/>
    <col min="3" max="3" width="11.5546875" bestFit="1" customWidth="1"/>
    <col min="4" max="4" width="16.6640625" bestFit="1" customWidth="1"/>
    <col min="5" max="5" width="13.109375" bestFit="1" customWidth="1"/>
    <col min="6" max="6" width="15.33203125" bestFit="1" customWidth="1"/>
    <col min="7" max="7" width="29.88671875" bestFit="1" customWidth="1"/>
    <col min="8" max="8" width="30.44140625" bestFit="1" customWidth="1"/>
    <col min="9" max="9" width="35.5546875" bestFit="1" customWidth="1"/>
    <col min="10" max="10" width="39.21875" bestFit="1" customWidth="1"/>
    <col min="11" max="11" width="28.5546875" bestFit="1" customWidth="1"/>
    <col min="12" max="12" width="12" bestFit="1" customWidth="1"/>
  </cols>
  <sheetData>
    <row r="3" spans="1:6">
      <c r="A3" s="32" t="s">
        <v>487</v>
      </c>
    </row>
    <row r="4" spans="1:6">
      <c r="B4" t="s">
        <v>388</v>
      </c>
      <c r="C4" t="s">
        <v>382</v>
      </c>
      <c r="D4" t="s">
        <v>383</v>
      </c>
      <c r="E4" t="s">
        <v>384</v>
      </c>
      <c r="F4" t="s">
        <v>385</v>
      </c>
    </row>
    <row r="5" spans="1:6">
      <c r="A5" s="10" t="s">
        <v>57</v>
      </c>
      <c r="B5" s="8">
        <v>9.0106881535033448E-2</v>
      </c>
      <c r="C5">
        <v>89871</v>
      </c>
      <c r="D5">
        <v>6826</v>
      </c>
      <c r="E5">
        <v>9086</v>
      </c>
      <c r="F5">
        <v>191.62068965517241</v>
      </c>
    </row>
    <row r="6" spans="1:6">
      <c r="A6" s="11" t="s">
        <v>31</v>
      </c>
      <c r="B6" s="8">
        <v>9.0106881535033448E-2</v>
      </c>
      <c r="C6">
        <v>89871</v>
      </c>
      <c r="D6">
        <v>6826</v>
      </c>
      <c r="E6">
        <v>9086</v>
      </c>
      <c r="F6">
        <v>191.62068965517241</v>
      </c>
    </row>
    <row r="7" spans="1:6">
      <c r="A7" s="10" t="s">
        <v>25</v>
      </c>
      <c r="B7" s="8">
        <v>9.6174341981258418E-2</v>
      </c>
      <c r="C7">
        <v>333918</v>
      </c>
      <c r="D7">
        <v>24098</v>
      </c>
      <c r="E7">
        <v>34487</v>
      </c>
      <c r="F7">
        <v>187.52727272727273</v>
      </c>
    </row>
    <row r="8" spans="1:6">
      <c r="A8" s="11" t="s">
        <v>14</v>
      </c>
      <c r="B8" s="8">
        <v>9.5509123528654011E-2</v>
      </c>
      <c r="C8">
        <v>61815</v>
      </c>
      <c r="D8">
        <v>5656</v>
      </c>
      <c r="E8">
        <v>7993</v>
      </c>
      <c r="F8">
        <v>200.60869565217391</v>
      </c>
    </row>
    <row r="9" spans="1:6">
      <c r="A9" s="11" t="s">
        <v>24</v>
      </c>
      <c r="B9" s="8">
        <v>9.6350204330797495E-2</v>
      </c>
      <c r="C9">
        <v>272103</v>
      </c>
      <c r="D9">
        <v>18442</v>
      </c>
      <c r="E9">
        <v>26494</v>
      </c>
      <c r="F9">
        <v>184.06896551724137</v>
      </c>
    </row>
    <row r="10" spans="1:6">
      <c r="A10" s="10" t="s">
        <v>15</v>
      </c>
      <c r="B10" s="8">
        <v>9.1008670407556683E-2</v>
      </c>
      <c r="C10">
        <v>473386</v>
      </c>
      <c r="D10">
        <v>36142</v>
      </c>
      <c r="E10">
        <v>49828</v>
      </c>
      <c r="F10">
        <v>195.09937888198758</v>
      </c>
    </row>
    <row r="11" spans="1:6">
      <c r="A11" s="11" t="s">
        <v>14</v>
      </c>
      <c r="B11" s="8">
        <v>8.9151970703401279E-2</v>
      </c>
      <c r="C11">
        <v>189658</v>
      </c>
      <c r="D11">
        <v>15162</v>
      </c>
      <c r="E11">
        <v>21292</v>
      </c>
      <c r="F11">
        <v>193.9848484848485</v>
      </c>
    </row>
    <row r="12" spans="1:6">
      <c r="A12" s="11" t="s">
        <v>24</v>
      </c>
      <c r="B12" s="8">
        <v>9.5584491232904412E-2</v>
      </c>
      <c r="C12">
        <v>178192</v>
      </c>
      <c r="D12">
        <v>13135</v>
      </c>
      <c r="E12">
        <v>19004</v>
      </c>
      <c r="F12">
        <v>188.85245901639345</v>
      </c>
    </row>
    <row r="13" spans="1:6">
      <c r="A13" s="11" t="s">
        <v>31</v>
      </c>
      <c r="B13" s="8">
        <v>8.6403291293675674E-2</v>
      </c>
      <c r="C13">
        <v>105536</v>
      </c>
      <c r="D13">
        <v>7845</v>
      </c>
      <c r="E13">
        <v>9532</v>
      </c>
      <c r="F13">
        <v>208.47058823529412</v>
      </c>
    </row>
    <row r="14" spans="1:6">
      <c r="A14" s="10" t="s">
        <v>380</v>
      </c>
      <c r="B14" s="8">
        <v>9.2815577060236742E-2</v>
      </c>
      <c r="C14">
        <v>897175</v>
      </c>
      <c r="D14">
        <v>67066</v>
      </c>
      <c r="E14">
        <v>93401</v>
      </c>
      <c r="F14">
        <v>191.98666666666668</v>
      </c>
    </row>
    <row r="16" spans="1:6">
      <c r="A16" s="32" t="s">
        <v>488</v>
      </c>
    </row>
    <row r="17" spans="1:4">
      <c r="A17" s="9" t="s">
        <v>379</v>
      </c>
      <c r="B17" t="s">
        <v>385</v>
      </c>
    </row>
    <row r="18" spans="1:4">
      <c r="A18" s="10" t="s">
        <v>33</v>
      </c>
      <c r="B18" s="35">
        <v>208.47058823529412</v>
      </c>
      <c r="C18" s="32" t="s">
        <v>480</v>
      </c>
      <c r="D18" s="32"/>
    </row>
    <row r="19" spans="1:4">
      <c r="A19" s="10" t="s">
        <v>45</v>
      </c>
      <c r="B19" s="31">
        <v>194.92592592592592</v>
      </c>
    </row>
    <row r="20" spans="1:4">
      <c r="A20" s="10" t="s">
        <v>39</v>
      </c>
      <c r="B20" s="31">
        <v>194.73529411764707</v>
      </c>
    </row>
    <row r="21" spans="1:4">
      <c r="A21" s="10" t="s">
        <v>21</v>
      </c>
      <c r="B21" s="31">
        <v>192.90909090909091</v>
      </c>
    </row>
    <row r="22" spans="1:4">
      <c r="A22" s="10" t="s">
        <v>17</v>
      </c>
      <c r="B22" s="31">
        <v>191.66037735849056</v>
      </c>
    </row>
    <row r="23" spans="1:4">
      <c r="A23" s="10" t="s">
        <v>58</v>
      </c>
      <c r="B23" s="31">
        <v>191.62068965517241</v>
      </c>
    </row>
    <row r="24" spans="1:4">
      <c r="A24" s="10" t="s">
        <v>42</v>
      </c>
      <c r="B24" s="31">
        <v>190.71929824561403</v>
      </c>
    </row>
    <row r="25" spans="1:4">
      <c r="A25" s="10" t="s">
        <v>27</v>
      </c>
      <c r="B25" s="31">
        <v>171.87878787878788</v>
      </c>
    </row>
    <row r="26" spans="1:4">
      <c r="A26" s="10" t="s">
        <v>380</v>
      </c>
      <c r="B26" s="31">
        <v>191.98666666666668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1E64D-D1A0-4C0C-9466-F3A7EDDD9A06}">
  <dimension ref="A2:L32"/>
  <sheetViews>
    <sheetView zoomScale="70" zoomScaleNormal="70" workbookViewId="0">
      <selection activeCell="F29" sqref="F29"/>
    </sheetView>
  </sheetViews>
  <sheetFormatPr defaultRowHeight="14.4"/>
  <cols>
    <col min="1" max="1" width="23.33203125" bestFit="1" customWidth="1"/>
    <col min="2" max="2" width="16.77734375" bestFit="1" customWidth="1"/>
    <col min="3" max="3" width="7.5546875" bestFit="1" customWidth="1"/>
    <col min="4" max="4" width="8.6640625" bestFit="1" customWidth="1"/>
    <col min="5" max="6" width="11.109375" bestFit="1" customWidth="1"/>
    <col min="7" max="7" width="21.5546875" bestFit="1" customWidth="1"/>
    <col min="8" max="8" width="13.88671875" bestFit="1" customWidth="1"/>
    <col min="9" max="9" width="16.44140625" bestFit="1" customWidth="1"/>
    <col min="10" max="10" width="27.109375" bestFit="1" customWidth="1"/>
    <col min="11" max="69" width="21.5546875" bestFit="1" customWidth="1"/>
    <col min="70" max="70" width="10.77734375" bestFit="1" customWidth="1"/>
  </cols>
  <sheetData>
    <row r="2" spans="1:11">
      <c r="A2" s="32" t="s">
        <v>477</v>
      </c>
    </row>
    <row r="3" spans="1:11">
      <c r="A3" s="9" t="s">
        <v>379</v>
      </c>
      <c r="B3" t="s">
        <v>389</v>
      </c>
    </row>
    <row r="4" spans="1:11">
      <c r="A4" s="10" t="s">
        <v>24</v>
      </c>
      <c r="B4" s="13">
        <v>6.8856716417910446</v>
      </c>
      <c r="C4" s="32" t="s">
        <v>390</v>
      </c>
      <c r="K4" s="33"/>
    </row>
    <row r="5" spans="1:11">
      <c r="A5" s="10" t="s">
        <v>31</v>
      </c>
      <c r="B5" s="12">
        <v>6.7189393939393929</v>
      </c>
      <c r="K5" s="33"/>
    </row>
    <row r="6" spans="1:11">
      <c r="A6" s="10" t="s">
        <v>14</v>
      </c>
      <c r="B6" s="12">
        <v>6.4582089552238831</v>
      </c>
    </row>
    <row r="7" spans="1:11">
      <c r="A7" s="10" t="s">
        <v>387</v>
      </c>
      <c r="B7" s="12"/>
    </row>
    <row r="8" spans="1:11">
      <c r="A8" s="10" t="s">
        <v>380</v>
      </c>
      <c r="B8" s="12">
        <v>6.6874499999999975</v>
      </c>
    </row>
    <row r="11" spans="1:11">
      <c r="A11" s="32" t="s">
        <v>478</v>
      </c>
    </row>
    <row r="12" spans="1:11">
      <c r="A12" s="9" t="s">
        <v>392</v>
      </c>
      <c r="B12" s="9" t="s">
        <v>381</v>
      </c>
    </row>
    <row r="13" spans="1:11">
      <c r="A13" s="9" t="s">
        <v>379</v>
      </c>
      <c r="B13" t="s">
        <v>14</v>
      </c>
      <c r="C13" t="s">
        <v>24</v>
      </c>
      <c r="D13" t="s">
        <v>31</v>
      </c>
      <c r="E13" t="s">
        <v>380</v>
      </c>
    </row>
    <row r="14" spans="1:11">
      <c r="A14" s="10" t="s">
        <v>393</v>
      </c>
      <c r="B14" s="31">
        <v>1402</v>
      </c>
      <c r="C14" s="31">
        <v>995</v>
      </c>
      <c r="D14" s="31">
        <v>1472</v>
      </c>
      <c r="E14" s="31">
        <v>3869</v>
      </c>
    </row>
    <row r="15" spans="1:11">
      <c r="A15" s="10" t="s">
        <v>394</v>
      </c>
      <c r="B15" s="31">
        <v>1018</v>
      </c>
      <c r="C15" s="31">
        <v>1461</v>
      </c>
      <c r="D15" s="31">
        <v>545</v>
      </c>
      <c r="E15" s="31">
        <v>3024</v>
      </c>
    </row>
    <row r="16" spans="1:11">
      <c r="A16" s="10" t="s">
        <v>395</v>
      </c>
      <c r="B16" s="31">
        <v>881</v>
      </c>
      <c r="C16" s="31">
        <v>1414</v>
      </c>
      <c r="D16" s="31">
        <v>1472</v>
      </c>
      <c r="E16" s="31">
        <v>3767</v>
      </c>
    </row>
    <row r="17" spans="1:12">
      <c r="A17" s="10" t="s">
        <v>396</v>
      </c>
      <c r="B17" s="31">
        <v>809</v>
      </c>
      <c r="C17" s="31">
        <v>1371</v>
      </c>
      <c r="D17" s="31">
        <v>844</v>
      </c>
      <c r="E17" s="31">
        <v>3024</v>
      </c>
    </row>
    <row r="18" spans="1:12">
      <c r="A18" s="10" t="s">
        <v>397</v>
      </c>
      <c r="B18" s="31">
        <v>786</v>
      </c>
      <c r="C18" s="31">
        <v>845</v>
      </c>
      <c r="D18" s="31">
        <v>1218</v>
      </c>
      <c r="E18" s="31">
        <v>2849</v>
      </c>
      <c r="J18" s="32" t="s">
        <v>479</v>
      </c>
    </row>
    <row r="19" spans="1:12">
      <c r="A19" s="10" t="s">
        <v>398</v>
      </c>
      <c r="B19" s="31">
        <v>797</v>
      </c>
      <c r="C19" s="31">
        <v>1471</v>
      </c>
      <c r="D19" s="31">
        <v>1253</v>
      </c>
      <c r="E19" s="31">
        <v>3521</v>
      </c>
      <c r="J19" s="9" t="s">
        <v>379</v>
      </c>
      <c r="K19" t="s">
        <v>460</v>
      </c>
      <c r="L19" t="s">
        <v>389</v>
      </c>
    </row>
    <row r="20" spans="1:12">
      <c r="A20" s="10" t="s">
        <v>399</v>
      </c>
      <c r="B20" s="31">
        <v>616</v>
      </c>
      <c r="C20" s="31">
        <v>1308</v>
      </c>
      <c r="D20" s="31">
        <v>981</v>
      </c>
      <c r="E20" s="31">
        <v>2905</v>
      </c>
      <c r="J20" s="10" t="s">
        <v>14</v>
      </c>
      <c r="K20">
        <v>1035942</v>
      </c>
      <c r="L20" s="8">
        <v>6.4582089552238831</v>
      </c>
    </row>
    <row r="21" spans="1:12">
      <c r="A21" s="10" t="s">
        <v>400</v>
      </c>
      <c r="B21" s="31">
        <v>866</v>
      </c>
      <c r="C21" s="31">
        <v>547</v>
      </c>
      <c r="D21" s="31">
        <v>1241</v>
      </c>
      <c r="E21" s="31">
        <v>2654</v>
      </c>
      <c r="J21" s="10" t="s">
        <v>24</v>
      </c>
      <c r="K21">
        <v>1114204</v>
      </c>
      <c r="L21" s="8">
        <v>6.8856716417910446</v>
      </c>
    </row>
    <row r="22" spans="1:12">
      <c r="A22" s="10" t="s">
        <v>401</v>
      </c>
      <c r="B22" s="31">
        <v>973</v>
      </c>
      <c r="C22" s="31">
        <v>611</v>
      </c>
      <c r="D22" s="31">
        <v>983</v>
      </c>
      <c r="E22" s="31">
        <v>2567</v>
      </c>
      <c r="J22" s="10" t="s">
        <v>31</v>
      </c>
      <c r="K22">
        <v>1065782</v>
      </c>
      <c r="L22" s="8">
        <v>6.7189393939393929</v>
      </c>
    </row>
    <row r="23" spans="1:12">
      <c r="A23" s="10" t="s">
        <v>402</v>
      </c>
      <c r="B23" s="31">
        <v>1449</v>
      </c>
      <c r="C23" s="31">
        <v>752</v>
      </c>
      <c r="D23" s="31">
        <v>937</v>
      </c>
      <c r="E23" s="31">
        <v>3138</v>
      </c>
      <c r="J23" s="10" t="s">
        <v>380</v>
      </c>
      <c r="K23">
        <v>3215928</v>
      </c>
      <c r="L23" s="8">
        <v>6.6874499999999975</v>
      </c>
    </row>
    <row r="24" spans="1:12">
      <c r="A24" s="10" t="s">
        <v>403</v>
      </c>
      <c r="B24" s="31">
        <v>1060</v>
      </c>
      <c r="C24" s="31">
        <v>1456</v>
      </c>
      <c r="D24" s="31">
        <v>1109</v>
      </c>
      <c r="E24" s="31">
        <v>3625</v>
      </c>
    </row>
    <row r="25" spans="1:12">
      <c r="A25" s="10" t="s">
        <v>404</v>
      </c>
      <c r="B25" s="31">
        <v>1002</v>
      </c>
      <c r="C25" s="31">
        <v>571</v>
      </c>
      <c r="D25" s="31">
        <v>1240</v>
      </c>
      <c r="E25" s="31">
        <v>2813</v>
      </c>
    </row>
    <row r="26" spans="1:12">
      <c r="A26" s="10" t="s">
        <v>405</v>
      </c>
      <c r="B26" s="31">
        <v>1154</v>
      </c>
      <c r="C26" s="31">
        <v>537</v>
      </c>
      <c r="D26" s="31">
        <v>1456</v>
      </c>
      <c r="E26" s="31">
        <v>3147</v>
      </c>
    </row>
    <row r="27" spans="1:12">
      <c r="A27" s="10" t="s">
        <v>406</v>
      </c>
      <c r="B27" s="31">
        <v>721</v>
      </c>
      <c r="C27" s="31">
        <v>1098</v>
      </c>
      <c r="D27" s="31">
        <v>1096</v>
      </c>
      <c r="E27" s="31">
        <v>2915</v>
      </c>
    </row>
    <row r="28" spans="1:12">
      <c r="A28" s="10" t="s">
        <v>407</v>
      </c>
      <c r="B28" s="31">
        <v>912</v>
      </c>
      <c r="C28" s="31">
        <v>1430</v>
      </c>
      <c r="D28" s="31">
        <v>854</v>
      </c>
      <c r="E28" s="31">
        <v>3196</v>
      </c>
    </row>
    <row r="29" spans="1:12" ht="15.6">
      <c r="A29" s="10" t="s">
        <v>408</v>
      </c>
      <c r="B29" s="31">
        <v>681</v>
      </c>
      <c r="C29" s="31">
        <v>1373</v>
      </c>
      <c r="D29" s="31">
        <v>685</v>
      </c>
      <c r="E29" s="31">
        <v>2739</v>
      </c>
      <c r="F29" s="40" t="s">
        <v>493</v>
      </c>
    </row>
    <row r="30" spans="1:12">
      <c r="A30" s="10" t="s">
        <v>409</v>
      </c>
      <c r="B30" s="31">
        <v>1290</v>
      </c>
      <c r="C30" s="31">
        <v>1437</v>
      </c>
      <c r="D30" s="31">
        <v>769</v>
      </c>
      <c r="E30" s="31">
        <v>3496</v>
      </c>
    </row>
    <row r="31" spans="1:12">
      <c r="A31" s="10" t="s">
        <v>410</v>
      </c>
      <c r="B31" s="31">
        <v>1416</v>
      </c>
      <c r="C31" s="31">
        <v>998</v>
      </c>
      <c r="D31" s="31">
        <v>1421</v>
      </c>
      <c r="E31" s="31">
        <v>3835</v>
      </c>
    </row>
    <row r="32" spans="1:12">
      <c r="A32" s="10" t="s">
        <v>380</v>
      </c>
      <c r="B32" s="31">
        <v>17833</v>
      </c>
      <c r="C32" s="31">
        <v>19675</v>
      </c>
      <c r="D32" s="31">
        <v>19576</v>
      </c>
      <c r="E32" s="31">
        <v>57084</v>
      </c>
    </row>
  </sheetData>
  <pageMargins left="0.7" right="0.7" top="0.75" bottom="0.75" header="0.3" footer="0.3"/>
  <drawing r:id="rId4"/>
  <extLst>
    <ext xmlns:x15="http://schemas.microsoft.com/office/spreadsheetml/2010/11/main" uri="{7E03D99C-DC04-49d9-9315-930204A7B6E9}">
      <x15:timelineRefs>
        <x15:timelineRef r:id="rId5"/>
      </x15:timelineRef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2CE9-6FF3-4B48-8AE4-4CD790A48333}">
  <dimension ref="A2:F28"/>
  <sheetViews>
    <sheetView workbookViewId="0">
      <selection activeCell="A28" sqref="A25:A28"/>
    </sheetView>
  </sheetViews>
  <sheetFormatPr defaultRowHeight="14.4"/>
  <cols>
    <col min="1" max="1" width="32" bestFit="1" customWidth="1"/>
    <col min="2" max="2" width="14.77734375" bestFit="1" customWidth="1"/>
    <col min="3" max="3" width="25.21875" bestFit="1" customWidth="1"/>
    <col min="4" max="4" width="8.44140625" bestFit="1" customWidth="1"/>
    <col min="5" max="5" width="7" bestFit="1" customWidth="1"/>
    <col min="6" max="6" width="10.77734375" bestFit="1" customWidth="1"/>
  </cols>
  <sheetData>
    <row r="2" spans="1:4">
      <c r="B2" s="32"/>
      <c r="C2" s="32" t="s">
        <v>492</v>
      </c>
    </row>
    <row r="3" spans="1:4">
      <c r="A3" s="9" t="s">
        <v>379</v>
      </c>
      <c r="B3" t="s">
        <v>461</v>
      </c>
      <c r="C3" t="s">
        <v>388</v>
      </c>
    </row>
    <row r="4" spans="1:4">
      <c r="A4" s="39" t="s">
        <v>42</v>
      </c>
      <c r="B4">
        <v>57</v>
      </c>
      <c r="C4" s="8">
        <v>1.0711102262618384</v>
      </c>
      <c r="D4" s="32" t="s">
        <v>491</v>
      </c>
    </row>
    <row r="5" spans="1:4">
      <c r="A5" s="10" t="s">
        <v>17</v>
      </c>
      <c r="B5">
        <v>53</v>
      </c>
      <c r="C5" s="8">
        <v>1.0817022397513134</v>
      </c>
    </row>
    <row r="6" spans="1:4">
      <c r="A6" s="10" t="s">
        <v>39</v>
      </c>
      <c r="B6">
        <v>34</v>
      </c>
      <c r="C6" s="8">
        <v>0.90614210376875959</v>
      </c>
    </row>
    <row r="7" spans="1:4">
      <c r="A7" s="10" t="s">
        <v>33</v>
      </c>
      <c r="B7">
        <v>34</v>
      </c>
      <c r="C7" s="8">
        <v>0.93091368960191356</v>
      </c>
    </row>
    <row r="8" spans="1:4">
      <c r="A8" s="10" t="s">
        <v>21</v>
      </c>
      <c r="B8">
        <v>33</v>
      </c>
      <c r="C8" s="8">
        <v>0.97244367994656222</v>
      </c>
    </row>
    <row r="9" spans="1:4">
      <c r="A9" s="10" t="s">
        <v>27</v>
      </c>
      <c r="B9">
        <v>33</v>
      </c>
      <c r="C9" s="8">
        <v>1.0144945588322534</v>
      </c>
    </row>
    <row r="10" spans="1:4">
      <c r="A10" s="10" t="s">
        <v>58</v>
      </c>
      <c r="B10">
        <v>29</v>
      </c>
      <c r="C10" s="8">
        <v>0.9708163692884727</v>
      </c>
    </row>
    <row r="11" spans="1:4">
      <c r="A11" s="10" t="s">
        <v>45</v>
      </c>
      <c r="B11">
        <v>27</v>
      </c>
      <c r="C11" s="8">
        <v>0.94199869750319476</v>
      </c>
    </row>
    <row r="12" spans="1:4">
      <c r="A12" s="10" t="s">
        <v>387</v>
      </c>
      <c r="C12" s="8">
        <v>0</v>
      </c>
    </row>
    <row r="13" spans="1:4">
      <c r="A13" s="10" t="s">
        <v>380</v>
      </c>
      <c r="B13">
        <v>300</v>
      </c>
      <c r="C13" s="8">
        <v>1</v>
      </c>
    </row>
    <row r="16" spans="1:4">
      <c r="A16" s="9" t="s">
        <v>388</v>
      </c>
      <c r="B16" s="9" t="s">
        <v>381</v>
      </c>
    </row>
    <row r="17" spans="1:6">
      <c r="A17" s="9" t="s">
        <v>379</v>
      </c>
      <c r="B17" t="s">
        <v>14</v>
      </c>
      <c r="C17" t="s">
        <v>24</v>
      </c>
      <c r="D17" t="s">
        <v>31</v>
      </c>
      <c r="E17" t="s">
        <v>387</v>
      </c>
      <c r="F17" t="s">
        <v>380</v>
      </c>
    </row>
    <row r="18" spans="1:6">
      <c r="A18" s="10" t="s">
        <v>57</v>
      </c>
      <c r="B18" s="8">
        <v>0</v>
      </c>
      <c r="C18" s="8">
        <v>0</v>
      </c>
      <c r="D18" s="8">
        <v>0.97081636928847226</v>
      </c>
      <c r="E18" s="8">
        <v>0</v>
      </c>
      <c r="F18" s="8">
        <v>0.97081636928847226</v>
      </c>
    </row>
    <row r="19" spans="1:6">
      <c r="A19" s="10" t="s">
        <v>25</v>
      </c>
      <c r="B19" s="8">
        <v>1.0290204139620784</v>
      </c>
      <c r="C19" s="8">
        <v>1.0380822635867124</v>
      </c>
      <c r="D19" s="8">
        <v>0</v>
      </c>
      <c r="E19" s="8">
        <v>0</v>
      </c>
      <c r="F19" s="8">
        <v>1.0361875132106528</v>
      </c>
    </row>
    <row r="20" spans="1:6">
      <c r="A20" s="10" t="s">
        <v>15</v>
      </c>
      <c r="B20" s="8">
        <v>0.96052810882748907</v>
      </c>
      <c r="C20" s="8">
        <v>1.0298324296456258</v>
      </c>
      <c r="D20" s="8">
        <v>0.93091368960191312</v>
      </c>
      <c r="E20" s="8">
        <v>0</v>
      </c>
      <c r="F20" s="8">
        <v>0.98053229091591609</v>
      </c>
    </row>
    <row r="21" spans="1:6">
      <c r="A21" s="10" t="s">
        <v>387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</row>
    <row r="22" spans="1:6">
      <c r="A22" s="10" t="s">
        <v>380</v>
      </c>
      <c r="B22" s="8">
        <v>0.9782283674577763</v>
      </c>
      <c r="C22" s="8">
        <v>1.0346819941920757</v>
      </c>
      <c r="D22" s="8">
        <v>0.94928158977509125</v>
      </c>
      <c r="E22" s="8">
        <v>0</v>
      </c>
      <c r="F22" s="8">
        <v>1</v>
      </c>
    </row>
    <row r="25" spans="1:6">
      <c r="A25" s="37" t="s">
        <v>489</v>
      </c>
    </row>
    <row r="26" spans="1:6">
      <c r="A26" s="38" t="s">
        <v>490</v>
      </c>
    </row>
    <row r="27" spans="1:6">
      <c r="A27" s="10" t="s">
        <v>485</v>
      </c>
    </row>
    <row r="28" spans="1:6">
      <c r="A28" s="10" t="s">
        <v>486</v>
      </c>
    </row>
  </sheetData>
  <conditionalFormatting pivot="1" sqref="C4:C1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8:D2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4E08A-9F79-48A9-B08B-6C34CAA013FE}">
  <dimension ref="A1:N301"/>
  <sheetViews>
    <sheetView workbookViewId="0">
      <selection sqref="A1:N301"/>
    </sheetView>
  </sheetViews>
  <sheetFormatPr defaultRowHeight="14.4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8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6640625" style="8" bestFit="1" customWidth="1"/>
    <col min="13" max="13" width="32" bestFit="1" customWidth="1"/>
    <col min="14" max="14" width="17.77734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8" t="s">
        <v>386</v>
      </c>
      <c r="M1" t="s">
        <v>11</v>
      </c>
      <c r="N1" t="s">
        <v>12</v>
      </c>
    </row>
    <row r="2" spans="1:14">
      <c r="A2" t="s">
        <v>19</v>
      </c>
      <c r="B2" t="s">
        <v>14</v>
      </c>
      <c r="C2" s="7">
        <v>45689</v>
      </c>
      <c r="D2" t="s">
        <v>15</v>
      </c>
      <c r="E2" t="s">
        <v>20</v>
      </c>
      <c r="F2">
        <v>1934</v>
      </c>
      <c r="G2">
        <v>210</v>
      </c>
      <c r="H2">
        <v>393</v>
      </c>
      <c r="I2">
        <v>29129</v>
      </c>
      <c r="J2">
        <v>73287</v>
      </c>
      <c r="K2">
        <v>273</v>
      </c>
      <c r="L2" s="8">
        <v>8.7095334546328396E-2</v>
      </c>
      <c r="M2" t="s">
        <v>21</v>
      </c>
      <c r="N2" t="s">
        <v>22</v>
      </c>
    </row>
    <row r="3" spans="1:14">
      <c r="A3" t="s">
        <v>30</v>
      </c>
      <c r="B3" t="s">
        <v>31</v>
      </c>
      <c r="C3" s="7">
        <v>45388</v>
      </c>
      <c r="D3" t="s">
        <v>15</v>
      </c>
      <c r="E3" t="s">
        <v>32</v>
      </c>
      <c r="F3">
        <v>2748</v>
      </c>
      <c r="G3">
        <v>145</v>
      </c>
      <c r="H3">
        <v>315</v>
      </c>
      <c r="I3">
        <v>24401</v>
      </c>
      <c r="J3">
        <v>61182</v>
      </c>
      <c r="K3">
        <v>200</v>
      </c>
      <c r="L3" s="8">
        <v>0.13147002172042099</v>
      </c>
      <c r="M3" t="s">
        <v>33</v>
      </c>
      <c r="N3" t="s">
        <v>22</v>
      </c>
    </row>
    <row r="4" spans="1:14">
      <c r="A4" t="s">
        <v>34</v>
      </c>
      <c r="B4" t="s">
        <v>31</v>
      </c>
      <c r="C4" s="7">
        <v>45456</v>
      </c>
      <c r="D4" t="s">
        <v>15</v>
      </c>
      <c r="E4" t="s">
        <v>35</v>
      </c>
      <c r="F4">
        <v>3882</v>
      </c>
      <c r="G4">
        <v>239</v>
      </c>
      <c r="H4">
        <v>275</v>
      </c>
      <c r="I4">
        <v>58748</v>
      </c>
      <c r="J4">
        <v>44646</v>
      </c>
      <c r="K4">
        <v>149</v>
      </c>
      <c r="L4" s="8">
        <v>7.4828079253761795E-2</v>
      </c>
      <c r="M4" t="s">
        <v>33</v>
      </c>
      <c r="N4" t="s">
        <v>22</v>
      </c>
    </row>
    <row r="5" spans="1:14">
      <c r="A5" t="s">
        <v>44</v>
      </c>
      <c r="B5" t="s">
        <v>24</v>
      </c>
      <c r="C5" s="7">
        <v>45357</v>
      </c>
      <c r="D5" t="s">
        <v>15</v>
      </c>
      <c r="E5" t="s">
        <v>16</v>
      </c>
      <c r="F5">
        <v>1971</v>
      </c>
      <c r="G5">
        <v>370</v>
      </c>
      <c r="H5">
        <v>306</v>
      </c>
      <c r="I5">
        <v>31316</v>
      </c>
      <c r="J5">
        <v>27897</v>
      </c>
      <c r="K5">
        <v>88</v>
      </c>
      <c r="L5" s="8">
        <v>8.4525482181632403E-2</v>
      </c>
      <c r="M5" t="s">
        <v>45</v>
      </c>
      <c r="N5" t="s">
        <v>22</v>
      </c>
    </row>
    <row r="6" spans="1:14">
      <c r="A6" t="s">
        <v>60</v>
      </c>
      <c r="B6" t="s">
        <v>14</v>
      </c>
      <c r="C6" s="7">
        <v>45478</v>
      </c>
      <c r="D6" t="s">
        <v>15</v>
      </c>
      <c r="E6" t="s">
        <v>51</v>
      </c>
      <c r="F6">
        <v>3753</v>
      </c>
      <c r="G6">
        <v>411</v>
      </c>
      <c r="H6">
        <v>308</v>
      </c>
      <c r="I6">
        <v>29138</v>
      </c>
      <c r="J6">
        <v>27678</v>
      </c>
      <c r="K6">
        <v>90</v>
      </c>
      <c r="L6" s="8">
        <v>0.15347655981879299</v>
      </c>
      <c r="M6" t="s">
        <v>21</v>
      </c>
      <c r="N6" t="s">
        <v>22</v>
      </c>
    </row>
    <row r="7" spans="1:14">
      <c r="A7" t="s">
        <v>64</v>
      </c>
      <c r="B7" t="s">
        <v>24</v>
      </c>
      <c r="C7" s="7">
        <v>45583</v>
      </c>
      <c r="D7" t="s">
        <v>15</v>
      </c>
      <c r="E7" t="s">
        <v>26</v>
      </c>
      <c r="F7">
        <v>2607</v>
      </c>
      <c r="G7">
        <v>379</v>
      </c>
      <c r="H7">
        <v>180</v>
      </c>
      <c r="I7">
        <v>28712</v>
      </c>
      <c r="J7">
        <v>61620</v>
      </c>
      <c r="K7">
        <v>174</v>
      </c>
      <c r="L7" s="8">
        <v>0.11026748397882399</v>
      </c>
      <c r="M7" t="s">
        <v>45</v>
      </c>
      <c r="N7" t="s">
        <v>22</v>
      </c>
    </row>
    <row r="8" spans="1:14">
      <c r="A8" t="s">
        <v>76</v>
      </c>
      <c r="B8" t="s">
        <v>14</v>
      </c>
      <c r="C8" s="7">
        <v>45416</v>
      </c>
      <c r="D8" t="s">
        <v>15</v>
      </c>
      <c r="E8" t="s">
        <v>29</v>
      </c>
      <c r="F8">
        <v>2274</v>
      </c>
      <c r="G8">
        <v>243</v>
      </c>
      <c r="H8">
        <v>222</v>
      </c>
      <c r="I8">
        <v>43066</v>
      </c>
      <c r="J8">
        <v>59174</v>
      </c>
      <c r="K8">
        <v>80</v>
      </c>
      <c r="L8" s="8">
        <v>6.3600055728416802E-2</v>
      </c>
      <c r="M8" t="s">
        <v>21</v>
      </c>
      <c r="N8" t="s">
        <v>22</v>
      </c>
    </row>
    <row r="9" spans="1:14">
      <c r="A9" t="s">
        <v>79</v>
      </c>
      <c r="B9" t="s">
        <v>14</v>
      </c>
      <c r="C9" s="7">
        <v>45621</v>
      </c>
      <c r="D9" t="s">
        <v>15</v>
      </c>
      <c r="E9" t="s">
        <v>49</v>
      </c>
      <c r="F9">
        <v>1341</v>
      </c>
      <c r="G9">
        <v>472</v>
      </c>
      <c r="H9">
        <v>238</v>
      </c>
      <c r="I9">
        <v>51386</v>
      </c>
      <c r="J9">
        <v>51706</v>
      </c>
      <c r="K9">
        <v>133</v>
      </c>
      <c r="L9" s="8">
        <v>3.9913595142645898E-2</v>
      </c>
      <c r="M9" t="s">
        <v>21</v>
      </c>
      <c r="N9" t="s">
        <v>22</v>
      </c>
    </row>
    <row r="10" spans="1:14">
      <c r="A10" t="s">
        <v>84</v>
      </c>
      <c r="B10" t="s">
        <v>14</v>
      </c>
      <c r="C10" s="7">
        <v>45541</v>
      </c>
      <c r="D10" t="s">
        <v>15</v>
      </c>
      <c r="E10" t="s">
        <v>26</v>
      </c>
      <c r="F10">
        <v>1452</v>
      </c>
      <c r="G10">
        <v>281</v>
      </c>
      <c r="H10">
        <v>326</v>
      </c>
      <c r="I10">
        <v>51556</v>
      </c>
      <c r="J10">
        <v>62599</v>
      </c>
      <c r="K10">
        <v>290</v>
      </c>
      <c r="L10" s="8">
        <v>3.9937155714174902E-2</v>
      </c>
      <c r="M10" t="s">
        <v>21</v>
      </c>
      <c r="N10" t="s">
        <v>22</v>
      </c>
    </row>
    <row r="11" spans="1:14">
      <c r="A11" t="s">
        <v>85</v>
      </c>
      <c r="B11" t="s">
        <v>31</v>
      </c>
      <c r="C11" s="7">
        <v>45487</v>
      </c>
      <c r="D11" t="s">
        <v>15</v>
      </c>
      <c r="E11" t="s">
        <v>51</v>
      </c>
      <c r="F11">
        <v>3806</v>
      </c>
      <c r="G11">
        <v>114</v>
      </c>
      <c r="H11">
        <v>278</v>
      </c>
      <c r="I11">
        <v>36148</v>
      </c>
      <c r="J11">
        <v>24209</v>
      </c>
      <c r="K11">
        <v>201</v>
      </c>
      <c r="L11" s="8">
        <v>0.116133672678986</v>
      </c>
      <c r="M11" t="s">
        <v>33</v>
      </c>
      <c r="N11" t="s">
        <v>22</v>
      </c>
    </row>
    <row r="12" spans="1:14">
      <c r="A12" t="s">
        <v>86</v>
      </c>
      <c r="B12" t="s">
        <v>14</v>
      </c>
      <c r="C12" s="7">
        <v>45334</v>
      </c>
      <c r="D12" t="s">
        <v>15</v>
      </c>
      <c r="E12" t="s">
        <v>20</v>
      </c>
      <c r="F12">
        <v>2923</v>
      </c>
      <c r="G12">
        <v>330</v>
      </c>
      <c r="H12">
        <v>250</v>
      </c>
      <c r="I12">
        <v>23993</v>
      </c>
      <c r="J12">
        <v>74590</v>
      </c>
      <c r="K12">
        <v>92</v>
      </c>
      <c r="L12" s="8">
        <v>0.146000916934106</v>
      </c>
      <c r="M12" t="s">
        <v>21</v>
      </c>
      <c r="N12" t="s">
        <v>22</v>
      </c>
    </row>
    <row r="13" spans="1:14">
      <c r="A13" t="s">
        <v>94</v>
      </c>
      <c r="B13" t="s">
        <v>14</v>
      </c>
      <c r="C13" s="7">
        <v>45722</v>
      </c>
      <c r="D13" t="s">
        <v>15</v>
      </c>
      <c r="E13" t="s">
        <v>37</v>
      </c>
      <c r="F13">
        <v>4851</v>
      </c>
      <c r="G13">
        <v>460</v>
      </c>
      <c r="H13">
        <v>212</v>
      </c>
      <c r="I13">
        <v>58075</v>
      </c>
      <c r="J13">
        <v>59574</v>
      </c>
      <c r="K13">
        <v>239</v>
      </c>
      <c r="L13" s="8">
        <v>9.5101162290141997E-2</v>
      </c>
      <c r="M13" t="s">
        <v>21</v>
      </c>
      <c r="N13" t="s">
        <v>22</v>
      </c>
    </row>
    <row r="14" spans="1:14">
      <c r="A14" t="s">
        <v>97</v>
      </c>
      <c r="B14" t="s">
        <v>14</v>
      </c>
      <c r="C14" s="7">
        <v>45299</v>
      </c>
      <c r="D14" t="s">
        <v>15</v>
      </c>
      <c r="E14" t="s">
        <v>41</v>
      </c>
      <c r="F14">
        <v>2683</v>
      </c>
      <c r="G14">
        <v>405</v>
      </c>
      <c r="H14">
        <v>223</v>
      </c>
      <c r="I14">
        <v>31233</v>
      </c>
      <c r="J14">
        <v>58106</v>
      </c>
      <c r="K14">
        <v>291</v>
      </c>
      <c r="L14" s="8">
        <v>0.106009669260077</v>
      </c>
      <c r="M14" t="s">
        <v>21</v>
      </c>
      <c r="N14" t="s">
        <v>22</v>
      </c>
    </row>
    <row r="15" spans="1:14">
      <c r="A15" t="s">
        <v>98</v>
      </c>
      <c r="B15" t="s">
        <v>31</v>
      </c>
      <c r="C15" s="7">
        <v>45490</v>
      </c>
      <c r="D15" t="s">
        <v>15</v>
      </c>
      <c r="E15" t="s">
        <v>41</v>
      </c>
      <c r="F15">
        <v>3135</v>
      </c>
      <c r="G15">
        <v>110</v>
      </c>
      <c r="H15">
        <v>215</v>
      </c>
      <c r="I15">
        <v>39192</v>
      </c>
      <c r="J15">
        <v>24744</v>
      </c>
      <c r="K15">
        <v>177</v>
      </c>
      <c r="L15" s="8">
        <v>8.82833231271688E-2</v>
      </c>
      <c r="M15" t="s">
        <v>33</v>
      </c>
      <c r="N15" t="s">
        <v>22</v>
      </c>
    </row>
    <row r="16" spans="1:14">
      <c r="A16" t="s">
        <v>99</v>
      </c>
      <c r="B16" t="s">
        <v>31</v>
      </c>
      <c r="C16" s="7">
        <v>45514</v>
      </c>
      <c r="D16" t="s">
        <v>15</v>
      </c>
      <c r="E16" t="s">
        <v>49</v>
      </c>
      <c r="F16">
        <v>1105</v>
      </c>
      <c r="G16">
        <v>181</v>
      </c>
      <c r="H16">
        <v>55</v>
      </c>
      <c r="I16">
        <v>53581</v>
      </c>
      <c r="J16">
        <v>74048</v>
      </c>
      <c r="K16">
        <v>220</v>
      </c>
      <c r="L16" s="8">
        <v>2.50275284149232E-2</v>
      </c>
      <c r="M16" t="s">
        <v>33</v>
      </c>
      <c r="N16" t="s">
        <v>22</v>
      </c>
    </row>
    <row r="17" spans="1:14">
      <c r="A17" t="s">
        <v>100</v>
      </c>
      <c r="B17" t="s">
        <v>31</v>
      </c>
      <c r="C17" s="7">
        <v>45398</v>
      </c>
      <c r="D17" t="s">
        <v>15</v>
      </c>
      <c r="E17" t="s">
        <v>16</v>
      </c>
      <c r="F17">
        <v>4674</v>
      </c>
      <c r="G17">
        <v>326</v>
      </c>
      <c r="H17">
        <v>62</v>
      </c>
      <c r="I17">
        <v>45503</v>
      </c>
      <c r="J17">
        <v>46814</v>
      </c>
      <c r="K17">
        <v>116</v>
      </c>
      <c r="L17" s="8">
        <v>0.111245412390392</v>
      </c>
      <c r="M17" t="s">
        <v>33</v>
      </c>
      <c r="N17" t="s">
        <v>22</v>
      </c>
    </row>
    <row r="18" spans="1:14">
      <c r="A18" t="s">
        <v>103</v>
      </c>
      <c r="B18" t="s">
        <v>24</v>
      </c>
      <c r="C18" s="7">
        <v>45480</v>
      </c>
      <c r="D18" t="s">
        <v>15</v>
      </c>
      <c r="E18" t="s">
        <v>26</v>
      </c>
      <c r="F18">
        <v>1035</v>
      </c>
      <c r="G18">
        <v>137</v>
      </c>
      <c r="H18">
        <v>184</v>
      </c>
      <c r="I18">
        <v>37302</v>
      </c>
      <c r="J18">
        <v>68953</v>
      </c>
      <c r="K18">
        <v>237</v>
      </c>
      <c r="L18" s="8">
        <v>3.6351938233874899E-2</v>
      </c>
      <c r="M18" t="s">
        <v>45</v>
      </c>
      <c r="N18" t="s">
        <v>22</v>
      </c>
    </row>
    <row r="19" spans="1:14">
      <c r="A19" t="s">
        <v>105</v>
      </c>
      <c r="B19" t="s">
        <v>31</v>
      </c>
      <c r="C19" s="7">
        <v>45438</v>
      </c>
      <c r="D19" t="s">
        <v>15</v>
      </c>
      <c r="E19" t="s">
        <v>49</v>
      </c>
      <c r="F19">
        <v>1488</v>
      </c>
      <c r="G19">
        <v>327</v>
      </c>
      <c r="H19">
        <v>110</v>
      </c>
      <c r="I19">
        <v>53805</v>
      </c>
      <c r="J19">
        <v>30239</v>
      </c>
      <c r="K19">
        <v>109</v>
      </c>
      <c r="L19" s="8">
        <v>3.5777344113000598E-2</v>
      </c>
      <c r="M19" t="s">
        <v>33</v>
      </c>
      <c r="N19" t="s">
        <v>22</v>
      </c>
    </row>
    <row r="20" spans="1:14">
      <c r="A20" t="s">
        <v>108</v>
      </c>
      <c r="B20" t="s">
        <v>24</v>
      </c>
      <c r="C20" s="7">
        <v>45379</v>
      </c>
      <c r="D20" t="s">
        <v>15</v>
      </c>
      <c r="E20" t="s">
        <v>32</v>
      </c>
      <c r="F20">
        <v>3276</v>
      </c>
      <c r="G20">
        <v>421</v>
      </c>
      <c r="H20">
        <v>114</v>
      </c>
      <c r="I20">
        <v>20580</v>
      </c>
      <c r="J20">
        <v>30324</v>
      </c>
      <c r="K20">
        <v>221</v>
      </c>
      <c r="L20" s="8">
        <v>0.18517978620019401</v>
      </c>
      <c r="M20" t="s">
        <v>45</v>
      </c>
      <c r="N20" t="s">
        <v>22</v>
      </c>
    </row>
    <row r="21" spans="1:14">
      <c r="A21" t="s">
        <v>111</v>
      </c>
      <c r="B21" t="s">
        <v>24</v>
      </c>
      <c r="C21" s="7">
        <v>45302</v>
      </c>
      <c r="D21" t="s">
        <v>15</v>
      </c>
      <c r="E21" t="s">
        <v>35</v>
      </c>
      <c r="F21">
        <v>4218</v>
      </c>
      <c r="G21">
        <v>247</v>
      </c>
      <c r="H21">
        <v>183</v>
      </c>
      <c r="I21">
        <v>28914</v>
      </c>
      <c r="J21">
        <v>18310</v>
      </c>
      <c r="K21">
        <v>135</v>
      </c>
      <c r="L21" s="8">
        <v>0.16075257660648801</v>
      </c>
      <c r="M21" t="s">
        <v>45</v>
      </c>
      <c r="N21" t="s">
        <v>22</v>
      </c>
    </row>
    <row r="22" spans="1:14">
      <c r="A22" t="s">
        <v>112</v>
      </c>
      <c r="B22" t="s">
        <v>14</v>
      </c>
      <c r="C22" s="7">
        <v>45576</v>
      </c>
      <c r="D22" t="s">
        <v>15</v>
      </c>
      <c r="E22" t="s">
        <v>49</v>
      </c>
      <c r="F22">
        <v>1360</v>
      </c>
      <c r="G22">
        <v>249</v>
      </c>
      <c r="H22">
        <v>52</v>
      </c>
      <c r="I22">
        <v>20368</v>
      </c>
      <c r="J22">
        <v>42152</v>
      </c>
      <c r="K22">
        <v>193</v>
      </c>
      <c r="L22" s="8">
        <v>8.1549489395129598E-2</v>
      </c>
      <c r="M22" t="s">
        <v>21</v>
      </c>
      <c r="N22" t="s">
        <v>22</v>
      </c>
    </row>
    <row r="23" spans="1:14">
      <c r="A23" t="s">
        <v>116</v>
      </c>
      <c r="B23" t="s">
        <v>14</v>
      </c>
      <c r="C23" s="7">
        <v>45487</v>
      </c>
      <c r="D23" t="s">
        <v>15</v>
      </c>
      <c r="E23" t="s">
        <v>29</v>
      </c>
      <c r="F23">
        <v>2464</v>
      </c>
      <c r="G23">
        <v>401</v>
      </c>
      <c r="H23">
        <v>78</v>
      </c>
      <c r="I23">
        <v>38665</v>
      </c>
      <c r="J23">
        <v>73593</v>
      </c>
      <c r="K23">
        <v>207</v>
      </c>
      <c r="L23" s="8">
        <v>7.6115349799560306E-2</v>
      </c>
      <c r="M23" t="s">
        <v>21</v>
      </c>
      <c r="N23" t="s">
        <v>22</v>
      </c>
    </row>
    <row r="24" spans="1:14">
      <c r="A24" t="s">
        <v>121</v>
      </c>
      <c r="B24" t="s">
        <v>24</v>
      </c>
      <c r="C24" s="7">
        <v>45723</v>
      </c>
      <c r="D24" t="s">
        <v>15</v>
      </c>
      <c r="E24" t="s">
        <v>37</v>
      </c>
      <c r="F24">
        <v>4234</v>
      </c>
      <c r="G24">
        <v>486</v>
      </c>
      <c r="H24">
        <v>276</v>
      </c>
      <c r="I24">
        <v>56623</v>
      </c>
      <c r="J24">
        <v>41343</v>
      </c>
      <c r="K24">
        <v>184</v>
      </c>
      <c r="L24" s="8">
        <v>8.8232696960599002E-2</v>
      </c>
      <c r="M24" t="s">
        <v>45</v>
      </c>
      <c r="N24" t="s">
        <v>22</v>
      </c>
    </row>
    <row r="25" spans="1:14">
      <c r="A25" t="s">
        <v>122</v>
      </c>
      <c r="B25" t="s">
        <v>14</v>
      </c>
      <c r="C25" s="7">
        <v>45530</v>
      </c>
      <c r="D25" t="s">
        <v>15</v>
      </c>
      <c r="E25" t="s">
        <v>51</v>
      </c>
      <c r="F25">
        <v>2102</v>
      </c>
      <c r="G25">
        <v>181</v>
      </c>
      <c r="H25">
        <v>306</v>
      </c>
      <c r="I25">
        <v>43650</v>
      </c>
      <c r="J25">
        <v>50079</v>
      </c>
      <c r="K25">
        <v>182</v>
      </c>
      <c r="L25" s="8">
        <v>5.9312714776632303E-2</v>
      </c>
      <c r="M25" t="s">
        <v>21</v>
      </c>
      <c r="N25" t="s">
        <v>22</v>
      </c>
    </row>
    <row r="26" spans="1:14">
      <c r="A26" t="s">
        <v>131</v>
      </c>
      <c r="B26" t="s">
        <v>24</v>
      </c>
      <c r="C26" s="7">
        <v>45774</v>
      </c>
      <c r="D26" t="s">
        <v>15</v>
      </c>
      <c r="E26" t="s">
        <v>20</v>
      </c>
      <c r="F26">
        <v>1165</v>
      </c>
      <c r="G26">
        <v>294</v>
      </c>
      <c r="H26">
        <v>163</v>
      </c>
      <c r="I26">
        <v>20659</v>
      </c>
      <c r="J26">
        <v>45926</v>
      </c>
      <c r="K26">
        <v>111</v>
      </c>
      <c r="L26" s="8">
        <v>7.8512996756861395E-2</v>
      </c>
      <c r="M26" t="s">
        <v>45</v>
      </c>
      <c r="N26" t="s">
        <v>22</v>
      </c>
    </row>
    <row r="27" spans="1:14">
      <c r="A27" t="s">
        <v>133</v>
      </c>
      <c r="B27" t="s">
        <v>14</v>
      </c>
      <c r="C27" s="7">
        <v>45351</v>
      </c>
      <c r="D27" t="s">
        <v>15</v>
      </c>
      <c r="E27" t="s">
        <v>49</v>
      </c>
      <c r="F27">
        <v>1100</v>
      </c>
      <c r="G27">
        <v>229</v>
      </c>
      <c r="H27">
        <v>312</v>
      </c>
      <c r="I27">
        <v>25641</v>
      </c>
      <c r="J27">
        <v>34601</v>
      </c>
      <c r="K27">
        <v>169</v>
      </c>
      <c r="L27" s="8">
        <v>6.3999063999063993E-2</v>
      </c>
      <c r="M27" t="s">
        <v>21</v>
      </c>
      <c r="N27" t="s">
        <v>22</v>
      </c>
    </row>
    <row r="28" spans="1:14">
      <c r="A28" t="s">
        <v>137</v>
      </c>
      <c r="B28" t="s">
        <v>14</v>
      </c>
      <c r="C28" s="7">
        <v>45317</v>
      </c>
      <c r="D28" t="s">
        <v>15</v>
      </c>
      <c r="E28" t="s">
        <v>35</v>
      </c>
      <c r="F28">
        <v>3878</v>
      </c>
      <c r="G28">
        <v>431</v>
      </c>
      <c r="H28">
        <v>97</v>
      </c>
      <c r="I28">
        <v>41763</v>
      </c>
      <c r="J28">
        <v>29729</v>
      </c>
      <c r="K28">
        <v>191</v>
      </c>
      <c r="L28" s="8">
        <v>0.10550008380624</v>
      </c>
      <c r="M28" t="s">
        <v>21</v>
      </c>
      <c r="N28" t="s">
        <v>22</v>
      </c>
    </row>
    <row r="29" spans="1:14">
      <c r="A29" t="s">
        <v>140</v>
      </c>
      <c r="B29" t="s">
        <v>14</v>
      </c>
      <c r="C29" s="7">
        <v>45494</v>
      </c>
      <c r="D29" t="s">
        <v>15</v>
      </c>
      <c r="E29" t="s">
        <v>16</v>
      </c>
      <c r="F29">
        <v>3004</v>
      </c>
      <c r="G29">
        <v>415</v>
      </c>
      <c r="H29">
        <v>218</v>
      </c>
      <c r="I29">
        <v>36090</v>
      </c>
      <c r="J29">
        <v>37073</v>
      </c>
      <c r="K29">
        <v>181</v>
      </c>
      <c r="L29" s="8">
        <v>0.100775838182322</v>
      </c>
      <c r="M29" t="s">
        <v>21</v>
      </c>
      <c r="N29" t="s">
        <v>22</v>
      </c>
    </row>
    <row r="30" spans="1:14">
      <c r="A30" t="s">
        <v>147</v>
      </c>
      <c r="B30" t="s">
        <v>24</v>
      </c>
      <c r="C30" s="7">
        <v>45670</v>
      </c>
      <c r="D30" t="s">
        <v>15</v>
      </c>
      <c r="E30" t="s">
        <v>32</v>
      </c>
      <c r="F30">
        <v>4090</v>
      </c>
      <c r="G30">
        <v>209</v>
      </c>
      <c r="H30">
        <v>278</v>
      </c>
      <c r="I30">
        <v>52853</v>
      </c>
      <c r="J30">
        <v>57084</v>
      </c>
      <c r="K30">
        <v>102</v>
      </c>
      <c r="L30" s="8">
        <v>8.6598679355949504E-2</v>
      </c>
      <c r="M30" t="s">
        <v>45</v>
      </c>
      <c r="N30" t="s">
        <v>22</v>
      </c>
    </row>
    <row r="31" spans="1:14">
      <c r="A31" t="s">
        <v>150</v>
      </c>
      <c r="B31" t="s">
        <v>14</v>
      </c>
      <c r="C31" s="7">
        <v>45469</v>
      </c>
      <c r="D31" t="s">
        <v>15</v>
      </c>
      <c r="E31" t="s">
        <v>26</v>
      </c>
      <c r="F31">
        <v>3253</v>
      </c>
      <c r="G31">
        <v>483</v>
      </c>
      <c r="H31">
        <v>336</v>
      </c>
      <c r="I31">
        <v>25397</v>
      </c>
      <c r="J31">
        <v>51485</v>
      </c>
      <c r="K31">
        <v>131</v>
      </c>
      <c r="L31" s="8">
        <v>0.160333897704453</v>
      </c>
      <c r="M31" t="s">
        <v>21</v>
      </c>
      <c r="N31" t="s">
        <v>22</v>
      </c>
    </row>
    <row r="32" spans="1:14">
      <c r="A32" t="s">
        <v>155</v>
      </c>
      <c r="B32" t="s">
        <v>14</v>
      </c>
      <c r="C32" s="7">
        <v>45762</v>
      </c>
      <c r="D32" t="s">
        <v>15</v>
      </c>
      <c r="E32" t="s">
        <v>20</v>
      </c>
      <c r="F32">
        <v>4177</v>
      </c>
      <c r="G32">
        <v>489</v>
      </c>
      <c r="H32">
        <v>331</v>
      </c>
      <c r="I32">
        <v>57451</v>
      </c>
      <c r="J32">
        <v>73793</v>
      </c>
      <c r="K32">
        <v>251</v>
      </c>
      <c r="L32" s="8">
        <v>8.6978468608031198E-2</v>
      </c>
      <c r="M32" t="s">
        <v>21</v>
      </c>
      <c r="N32" t="s">
        <v>22</v>
      </c>
    </row>
    <row r="33" spans="1:14">
      <c r="A33" t="s">
        <v>160</v>
      </c>
      <c r="B33" t="s">
        <v>14</v>
      </c>
      <c r="C33" s="7">
        <v>45674</v>
      </c>
      <c r="D33" t="s">
        <v>15</v>
      </c>
      <c r="E33" t="s">
        <v>41</v>
      </c>
      <c r="F33">
        <v>2266</v>
      </c>
      <c r="G33">
        <v>126</v>
      </c>
      <c r="H33">
        <v>140</v>
      </c>
      <c r="I33">
        <v>53759</v>
      </c>
      <c r="J33">
        <v>46834</v>
      </c>
      <c r="K33">
        <v>277</v>
      </c>
      <c r="L33" s="8">
        <v>4.7099090384865802E-2</v>
      </c>
      <c r="M33" t="s">
        <v>21</v>
      </c>
      <c r="N33" t="s">
        <v>22</v>
      </c>
    </row>
    <row r="34" spans="1:14">
      <c r="A34" t="s">
        <v>163</v>
      </c>
      <c r="B34" t="s">
        <v>31</v>
      </c>
      <c r="C34" s="7">
        <v>45424</v>
      </c>
      <c r="D34" t="s">
        <v>15</v>
      </c>
      <c r="E34" t="s">
        <v>49</v>
      </c>
      <c r="F34">
        <v>2911</v>
      </c>
      <c r="G34">
        <v>467</v>
      </c>
      <c r="H34">
        <v>94</v>
      </c>
      <c r="I34">
        <v>59083</v>
      </c>
      <c r="J34">
        <v>49762</v>
      </c>
      <c r="K34">
        <v>236</v>
      </c>
      <c r="L34" s="8">
        <v>5.8764788517847798E-2</v>
      </c>
      <c r="M34" t="s">
        <v>33</v>
      </c>
      <c r="N34" t="s">
        <v>22</v>
      </c>
    </row>
    <row r="35" spans="1:14">
      <c r="A35" t="s">
        <v>167</v>
      </c>
      <c r="B35" t="s">
        <v>24</v>
      </c>
      <c r="C35" s="7">
        <v>45319</v>
      </c>
      <c r="D35" t="s">
        <v>15</v>
      </c>
      <c r="E35" t="s">
        <v>32</v>
      </c>
      <c r="F35">
        <v>1456</v>
      </c>
      <c r="G35">
        <v>265</v>
      </c>
      <c r="H35">
        <v>137</v>
      </c>
      <c r="I35">
        <v>53485</v>
      </c>
      <c r="J35">
        <v>59729</v>
      </c>
      <c r="K35">
        <v>145</v>
      </c>
      <c r="L35" s="8">
        <v>3.4738711788351903E-2</v>
      </c>
      <c r="M35" t="s">
        <v>45</v>
      </c>
      <c r="N35" t="s">
        <v>22</v>
      </c>
    </row>
    <row r="36" spans="1:14">
      <c r="A36" t="s">
        <v>170</v>
      </c>
      <c r="B36" t="s">
        <v>31</v>
      </c>
      <c r="C36" s="7">
        <v>45301</v>
      </c>
      <c r="D36" t="s">
        <v>15</v>
      </c>
      <c r="E36" t="s">
        <v>20</v>
      </c>
      <c r="F36">
        <v>1261</v>
      </c>
      <c r="G36">
        <v>190</v>
      </c>
      <c r="H36">
        <v>233</v>
      </c>
      <c r="I36">
        <v>59888</v>
      </c>
      <c r="J36">
        <v>51449</v>
      </c>
      <c r="K36">
        <v>205</v>
      </c>
      <c r="L36" s="8">
        <v>2.8119155757413802E-2</v>
      </c>
      <c r="M36" t="s">
        <v>33</v>
      </c>
      <c r="N36" t="s">
        <v>22</v>
      </c>
    </row>
    <row r="37" spans="1:14">
      <c r="A37" t="s">
        <v>171</v>
      </c>
      <c r="B37" t="s">
        <v>24</v>
      </c>
      <c r="C37" s="7">
        <v>45736</v>
      </c>
      <c r="D37" t="s">
        <v>15</v>
      </c>
      <c r="E37" t="s">
        <v>51</v>
      </c>
      <c r="F37">
        <v>1564</v>
      </c>
      <c r="G37">
        <v>362</v>
      </c>
      <c r="H37">
        <v>371</v>
      </c>
      <c r="I37">
        <v>42075</v>
      </c>
      <c r="J37">
        <v>66659</v>
      </c>
      <c r="K37">
        <v>205</v>
      </c>
      <c r="L37" s="8">
        <v>5.4592988710635802E-2</v>
      </c>
      <c r="M37" t="s">
        <v>45</v>
      </c>
      <c r="N37" t="s">
        <v>22</v>
      </c>
    </row>
    <row r="38" spans="1:14">
      <c r="A38" t="s">
        <v>173</v>
      </c>
      <c r="B38" t="s">
        <v>31</v>
      </c>
      <c r="C38" s="7">
        <v>45318</v>
      </c>
      <c r="D38" t="s">
        <v>15</v>
      </c>
      <c r="E38" t="s">
        <v>51</v>
      </c>
      <c r="F38">
        <v>1976</v>
      </c>
      <c r="G38">
        <v>262</v>
      </c>
      <c r="H38">
        <v>218</v>
      </c>
      <c r="I38">
        <v>51696</v>
      </c>
      <c r="J38">
        <v>44846</v>
      </c>
      <c r="K38">
        <v>139</v>
      </c>
      <c r="L38" s="8">
        <v>4.7508511296812099E-2</v>
      </c>
      <c r="M38" t="s">
        <v>33</v>
      </c>
      <c r="N38" t="s">
        <v>22</v>
      </c>
    </row>
    <row r="39" spans="1:14">
      <c r="A39" t="s">
        <v>183</v>
      </c>
      <c r="B39" t="s">
        <v>14</v>
      </c>
      <c r="C39" s="7">
        <v>45460</v>
      </c>
      <c r="D39" t="s">
        <v>15</v>
      </c>
      <c r="E39" t="s">
        <v>16</v>
      </c>
      <c r="F39">
        <v>4283</v>
      </c>
      <c r="G39">
        <v>471</v>
      </c>
      <c r="H39">
        <v>156</v>
      </c>
      <c r="I39">
        <v>53004</v>
      </c>
      <c r="J39">
        <v>25678</v>
      </c>
      <c r="K39">
        <v>105</v>
      </c>
      <c r="L39" s="8">
        <v>9.2634518149573603E-2</v>
      </c>
      <c r="M39" t="s">
        <v>21</v>
      </c>
      <c r="N39" t="s">
        <v>22</v>
      </c>
    </row>
    <row r="40" spans="1:14">
      <c r="A40" t="s">
        <v>186</v>
      </c>
      <c r="B40" t="s">
        <v>14</v>
      </c>
      <c r="C40" s="7">
        <v>45799</v>
      </c>
      <c r="D40" t="s">
        <v>15</v>
      </c>
      <c r="E40" t="s">
        <v>16</v>
      </c>
      <c r="F40">
        <v>2633</v>
      </c>
      <c r="G40">
        <v>318</v>
      </c>
      <c r="H40">
        <v>380</v>
      </c>
      <c r="I40">
        <v>40869</v>
      </c>
      <c r="J40">
        <v>64474</v>
      </c>
      <c r="K40">
        <v>245</v>
      </c>
      <c r="L40" s="8">
        <v>8.1504318676747706E-2</v>
      </c>
      <c r="M40" t="s">
        <v>21</v>
      </c>
      <c r="N40" t="s">
        <v>22</v>
      </c>
    </row>
    <row r="41" spans="1:14">
      <c r="A41" t="s">
        <v>189</v>
      </c>
      <c r="B41" t="s">
        <v>24</v>
      </c>
      <c r="C41" s="7">
        <v>45760</v>
      </c>
      <c r="D41" t="s">
        <v>15</v>
      </c>
      <c r="E41" t="s">
        <v>49</v>
      </c>
      <c r="F41">
        <v>3890</v>
      </c>
      <c r="G41">
        <v>408</v>
      </c>
      <c r="H41">
        <v>338</v>
      </c>
      <c r="I41">
        <v>56994</v>
      </c>
      <c r="J41">
        <v>32621</v>
      </c>
      <c r="K41">
        <v>286</v>
      </c>
      <c r="L41" s="8">
        <v>8.1341895638137401E-2</v>
      </c>
      <c r="M41" t="s">
        <v>45</v>
      </c>
      <c r="N41" t="s">
        <v>22</v>
      </c>
    </row>
    <row r="42" spans="1:14">
      <c r="A42" t="s">
        <v>192</v>
      </c>
      <c r="B42" t="s">
        <v>14</v>
      </c>
      <c r="C42" s="7">
        <v>45562</v>
      </c>
      <c r="D42" t="s">
        <v>15</v>
      </c>
      <c r="E42" t="s">
        <v>16</v>
      </c>
      <c r="F42">
        <v>3118</v>
      </c>
      <c r="G42">
        <v>116</v>
      </c>
      <c r="H42">
        <v>195</v>
      </c>
      <c r="I42">
        <v>37100</v>
      </c>
      <c r="J42">
        <v>62629</v>
      </c>
      <c r="K42">
        <v>272</v>
      </c>
      <c r="L42" s="8">
        <v>9.2425876010781699E-2</v>
      </c>
      <c r="M42" t="s">
        <v>21</v>
      </c>
      <c r="N42" t="s">
        <v>22</v>
      </c>
    </row>
    <row r="43" spans="1:14">
      <c r="A43" t="s">
        <v>194</v>
      </c>
      <c r="B43" t="s">
        <v>14</v>
      </c>
      <c r="C43" s="7">
        <v>45615</v>
      </c>
      <c r="D43" t="s">
        <v>15</v>
      </c>
      <c r="E43" t="s">
        <v>35</v>
      </c>
      <c r="F43">
        <v>2525</v>
      </c>
      <c r="G43">
        <v>272</v>
      </c>
      <c r="H43">
        <v>294</v>
      </c>
      <c r="I43">
        <v>51875</v>
      </c>
      <c r="J43">
        <v>24732</v>
      </c>
      <c r="K43">
        <v>92</v>
      </c>
      <c r="L43" s="8">
        <v>5.9585542168674697E-2</v>
      </c>
      <c r="M43" t="s">
        <v>21</v>
      </c>
      <c r="N43" t="s">
        <v>22</v>
      </c>
    </row>
    <row r="44" spans="1:14">
      <c r="A44" t="s">
        <v>197</v>
      </c>
      <c r="B44" t="s">
        <v>31</v>
      </c>
      <c r="C44" s="7">
        <v>45718</v>
      </c>
      <c r="D44" t="s">
        <v>15</v>
      </c>
      <c r="E44" t="s">
        <v>49</v>
      </c>
      <c r="F44">
        <v>4425</v>
      </c>
      <c r="G44">
        <v>185</v>
      </c>
      <c r="H44">
        <v>162</v>
      </c>
      <c r="I44">
        <v>24610</v>
      </c>
      <c r="J44">
        <v>21342</v>
      </c>
      <c r="K44">
        <v>158</v>
      </c>
      <c r="L44" s="8">
        <v>0.19390491670052801</v>
      </c>
      <c r="M44" t="s">
        <v>33</v>
      </c>
      <c r="N44" t="s">
        <v>22</v>
      </c>
    </row>
    <row r="45" spans="1:14">
      <c r="A45" t="s">
        <v>201</v>
      </c>
      <c r="B45" t="s">
        <v>14</v>
      </c>
      <c r="C45" s="7">
        <v>45803</v>
      </c>
      <c r="D45" t="s">
        <v>15</v>
      </c>
      <c r="E45" t="s">
        <v>16</v>
      </c>
      <c r="F45">
        <v>3086</v>
      </c>
      <c r="G45">
        <v>148</v>
      </c>
      <c r="H45">
        <v>310</v>
      </c>
      <c r="I45">
        <v>22824</v>
      </c>
      <c r="J45">
        <v>58103</v>
      </c>
      <c r="K45">
        <v>275</v>
      </c>
      <c r="L45" s="8">
        <v>0.155275148966001</v>
      </c>
      <c r="M45" t="s">
        <v>21</v>
      </c>
      <c r="N45" t="s">
        <v>22</v>
      </c>
    </row>
    <row r="46" spans="1:14">
      <c r="A46" t="s">
        <v>206</v>
      </c>
      <c r="B46" t="s">
        <v>14</v>
      </c>
      <c r="C46" s="7">
        <v>45387</v>
      </c>
      <c r="D46" t="s">
        <v>15</v>
      </c>
      <c r="E46" t="s">
        <v>26</v>
      </c>
      <c r="F46">
        <v>4383</v>
      </c>
      <c r="G46">
        <v>352</v>
      </c>
      <c r="H46">
        <v>176</v>
      </c>
      <c r="I46">
        <v>53239</v>
      </c>
      <c r="J46">
        <v>34168</v>
      </c>
      <c r="K46">
        <v>288</v>
      </c>
      <c r="L46" s="8">
        <v>9.2244407295403799E-2</v>
      </c>
      <c r="M46" t="s">
        <v>21</v>
      </c>
      <c r="N46" t="s">
        <v>22</v>
      </c>
    </row>
    <row r="47" spans="1:14">
      <c r="A47" t="s">
        <v>207</v>
      </c>
      <c r="B47" t="s">
        <v>31</v>
      </c>
      <c r="C47" s="7">
        <v>45684</v>
      </c>
      <c r="D47" t="s">
        <v>15</v>
      </c>
      <c r="E47" t="s">
        <v>29</v>
      </c>
      <c r="F47">
        <v>4294</v>
      </c>
      <c r="G47">
        <v>423</v>
      </c>
      <c r="H47">
        <v>93</v>
      </c>
      <c r="I47">
        <v>29828</v>
      </c>
      <c r="J47">
        <v>73144</v>
      </c>
      <c r="K47">
        <v>298</v>
      </c>
      <c r="L47" s="8">
        <v>0.16125787850341999</v>
      </c>
      <c r="M47" t="s">
        <v>33</v>
      </c>
      <c r="N47" t="s">
        <v>22</v>
      </c>
    </row>
    <row r="48" spans="1:14">
      <c r="A48" t="s">
        <v>209</v>
      </c>
      <c r="B48" t="s">
        <v>31</v>
      </c>
      <c r="C48" s="7">
        <v>45660</v>
      </c>
      <c r="D48" t="s">
        <v>15</v>
      </c>
      <c r="E48" t="s">
        <v>26</v>
      </c>
      <c r="F48">
        <v>3782</v>
      </c>
      <c r="G48">
        <v>484</v>
      </c>
      <c r="H48">
        <v>144</v>
      </c>
      <c r="I48">
        <v>52172</v>
      </c>
      <c r="J48">
        <v>59386</v>
      </c>
      <c r="K48">
        <v>175</v>
      </c>
      <c r="L48" s="8">
        <v>8.4528099363643305E-2</v>
      </c>
      <c r="M48" t="s">
        <v>33</v>
      </c>
      <c r="N48" t="s">
        <v>22</v>
      </c>
    </row>
    <row r="49" spans="1:14">
      <c r="A49" t="s">
        <v>210</v>
      </c>
      <c r="B49" t="s">
        <v>24</v>
      </c>
      <c r="C49" s="7">
        <v>45619</v>
      </c>
      <c r="D49" t="s">
        <v>15</v>
      </c>
      <c r="E49" t="s">
        <v>26</v>
      </c>
      <c r="F49">
        <v>4318</v>
      </c>
      <c r="G49">
        <v>371</v>
      </c>
      <c r="H49">
        <v>329</v>
      </c>
      <c r="I49">
        <v>32347</v>
      </c>
      <c r="J49">
        <v>68956</v>
      </c>
      <c r="K49">
        <v>259</v>
      </c>
      <c r="L49" s="8">
        <v>0.155130305747055</v>
      </c>
      <c r="M49" t="s">
        <v>45</v>
      </c>
      <c r="N49" t="s">
        <v>22</v>
      </c>
    </row>
    <row r="50" spans="1:14">
      <c r="A50" t="s">
        <v>212</v>
      </c>
      <c r="B50" t="s">
        <v>31</v>
      </c>
      <c r="C50" s="7">
        <v>45400</v>
      </c>
      <c r="D50" t="s">
        <v>15</v>
      </c>
      <c r="E50" t="s">
        <v>20</v>
      </c>
      <c r="F50">
        <v>4023</v>
      </c>
      <c r="G50">
        <v>293</v>
      </c>
      <c r="H50">
        <v>91</v>
      </c>
      <c r="I50">
        <v>26795</v>
      </c>
      <c r="J50">
        <v>28924</v>
      </c>
      <c r="K50">
        <v>278</v>
      </c>
      <c r="L50" s="8">
        <v>0.164470983392424</v>
      </c>
      <c r="M50" t="s">
        <v>33</v>
      </c>
      <c r="N50" t="s">
        <v>22</v>
      </c>
    </row>
    <row r="51" spans="1:14">
      <c r="A51" t="s">
        <v>213</v>
      </c>
      <c r="B51" t="s">
        <v>14</v>
      </c>
      <c r="C51" s="7">
        <v>45447</v>
      </c>
      <c r="D51" t="s">
        <v>15</v>
      </c>
      <c r="E51" t="s">
        <v>37</v>
      </c>
      <c r="F51">
        <v>3948</v>
      </c>
      <c r="G51">
        <v>151</v>
      </c>
      <c r="H51">
        <v>249</v>
      </c>
      <c r="I51">
        <v>43147</v>
      </c>
      <c r="J51">
        <v>63136</v>
      </c>
      <c r="K51">
        <v>230</v>
      </c>
      <c r="L51" s="8">
        <v>0.100771780193293</v>
      </c>
      <c r="M51" t="s">
        <v>21</v>
      </c>
      <c r="N51" t="s">
        <v>22</v>
      </c>
    </row>
    <row r="52" spans="1:14">
      <c r="A52" t="s">
        <v>214</v>
      </c>
      <c r="B52" t="s">
        <v>31</v>
      </c>
      <c r="C52" s="7">
        <v>45749</v>
      </c>
      <c r="D52" t="s">
        <v>15</v>
      </c>
      <c r="E52" t="s">
        <v>29</v>
      </c>
      <c r="F52">
        <v>4598</v>
      </c>
      <c r="G52">
        <v>455</v>
      </c>
      <c r="H52">
        <v>378</v>
      </c>
      <c r="I52">
        <v>52952</v>
      </c>
      <c r="J52">
        <v>58504</v>
      </c>
      <c r="K52">
        <v>269</v>
      </c>
      <c r="L52" s="8">
        <v>0.102564586795588</v>
      </c>
      <c r="M52" t="s">
        <v>33</v>
      </c>
      <c r="N52" t="s">
        <v>22</v>
      </c>
    </row>
    <row r="53" spans="1:14">
      <c r="A53" t="s">
        <v>217</v>
      </c>
      <c r="B53" t="s">
        <v>24</v>
      </c>
      <c r="C53" s="7">
        <v>45606</v>
      </c>
      <c r="D53" t="s">
        <v>15</v>
      </c>
      <c r="E53" t="s">
        <v>20</v>
      </c>
      <c r="F53">
        <v>4823</v>
      </c>
      <c r="G53">
        <v>489</v>
      </c>
      <c r="H53">
        <v>302</v>
      </c>
      <c r="I53">
        <v>32470</v>
      </c>
      <c r="J53">
        <v>31861</v>
      </c>
      <c r="K53">
        <v>178</v>
      </c>
      <c r="L53" s="8">
        <v>0.172898059747459</v>
      </c>
      <c r="M53" t="s">
        <v>45</v>
      </c>
      <c r="N53" t="s">
        <v>22</v>
      </c>
    </row>
    <row r="54" spans="1:14">
      <c r="A54" t="s">
        <v>219</v>
      </c>
      <c r="B54" t="s">
        <v>24</v>
      </c>
      <c r="C54" s="7">
        <v>45615</v>
      </c>
      <c r="D54" t="s">
        <v>15</v>
      </c>
      <c r="E54" t="s">
        <v>20</v>
      </c>
      <c r="F54">
        <v>2387</v>
      </c>
      <c r="G54">
        <v>353</v>
      </c>
      <c r="H54">
        <v>78</v>
      </c>
      <c r="I54">
        <v>39745</v>
      </c>
      <c r="J54">
        <v>69226</v>
      </c>
      <c r="K54">
        <v>208</v>
      </c>
      <c r="L54" s="8">
        <v>7.0902000251603994E-2</v>
      </c>
      <c r="M54" t="s">
        <v>45</v>
      </c>
      <c r="N54" t="s">
        <v>22</v>
      </c>
    </row>
    <row r="55" spans="1:14">
      <c r="A55" t="s">
        <v>221</v>
      </c>
      <c r="B55" t="s">
        <v>24</v>
      </c>
      <c r="C55" s="7">
        <v>45370</v>
      </c>
      <c r="D55" t="s">
        <v>15</v>
      </c>
      <c r="E55" t="s">
        <v>49</v>
      </c>
      <c r="F55">
        <v>2191</v>
      </c>
      <c r="G55">
        <v>288</v>
      </c>
      <c r="H55">
        <v>83</v>
      </c>
      <c r="I55">
        <v>59606</v>
      </c>
      <c r="J55">
        <v>24765</v>
      </c>
      <c r="K55">
        <v>281</v>
      </c>
      <c r="L55" s="8">
        <v>4.2982250109049401E-2</v>
      </c>
      <c r="M55" t="s">
        <v>45</v>
      </c>
      <c r="N55" t="s">
        <v>22</v>
      </c>
    </row>
    <row r="56" spans="1:14">
      <c r="A56" t="s">
        <v>223</v>
      </c>
      <c r="B56" t="s">
        <v>24</v>
      </c>
      <c r="C56" s="7">
        <v>45496</v>
      </c>
      <c r="D56" t="s">
        <v>15</v>
      </c>
      <c r="E56" t="s">
        <v>41</v>
      </c>
      <c r="F56">
        <v>3204</v>
      </c>
      <c r="G56">
        <v>398</v>
      </c>
      <c r="H56">
        <v>85</v>
      </c>
      <c r="I56">
        <v>22020</v>
      </c>
      <c r="J56">
        <v>58353</v>
      </c>
      <c r="K56">
        <v>286</v>
      </c>
      <c r="L56" s="8">
        <v>0.16743869209809301</v>
      </c>
      <c r="M56" t="s">
        <v>45</v>
      </c>
      <c r="N56" t="s">
        <v>22</v>
      </c>
    </row>
    <row r="57" spans="1:14">
      <c r="A57" t="s">
        <v>228</v>
      </c>
      <c r="B57" t="s">
        <v>14</v>
      </c>
      <c r="C57" s="7">
        <v>45814</v>
      </c>
      <c r="D57" t="s">
        <v>15</v>
      </c>
      <c r="E57" t="s">
        <v>29</v>
      </c>
      <c r="F57">
        <v>3987</v>
      </c>
      <c r="G57">
        <v>171</v>
      </c>
      <c r="H57">
        <v>274</v>
      </c>
      <c r="I57">
        <v>45122</v>
      </c>
      <c r="J57">
        <v>65431</v>
      </c>
      <c r="K57">
        <v>168</v>
      </c>
      <c r="L57" s="8">
        <v>9.8222596516111899E-2</v>
      </c>
      <c r="M57" t="s">
        <v>21</v>
      </c>
      <c r="N57" t="s">
        <v>22</v>
      </c>
    </row>
    <row r="58" spans="1:14">
      <c r="A58" t="s">
        <v>235</v>
      </c>
      <c r="B58" t="s">
        <v>31</v>
      </c>
      <c r="C58" s="7">
        <v>45305</v>
      </c>
      <c r="D58" t="s">
        <v>15</v>
      </c>
      <c r="E58" t="s">
        <v>26</v>
      </c>
      <c r="F58">
        <v>3634</v>
      </c>
      <c r="G58">
        <v>280</v>
      </c>
      <c r="H58">
        <v>399</v>
      </c>
      <c r="I58">
        <v>40256</v>
      </c>
      <c r="J58">
        <v>52605</v>
      </c>
      <c r="K58">
        <v>213</v>
      </c>
      <c r="L58" s="8">
        <v>0.107139308426073</v>
      </c>
      <c r="M58" t="s">
        <v>33</v>
      </c>
      <c r="N58" t="s">
        <v>22</v>
      </c>
    </row>
    <row r="59" spans="1:14">
      <c r="A59" t="s">
        <v>237</v>
      </c>
      <c r="B59" t="s">
        <v>31</v>
      </c>
      <c r="C59" s="7">
        <v>45634</v>
      </c>
      <c r="D59" t="s">
        <v>15</v>
      </c>
      <c r="E59" t="s">
        <v>41</v>
      </c>
      <c r="F59">
        <v>1424</v>
      </c>
      <c r="G59">
        <v>396</v>
      </c>
      <c r="H59">
        <v>312</v>
      </c>
      <c r="I59">
        <v>59517</v>
      </c>
      <c r="J59">
        <v>46102</v>
      </c>
      <c r="K59">
        <v>239</v>
      </c>
      <c r="L59" s="8">
        <v>3.5821698002251497E-2</v>
      </c>
      <c r="M59" t="s">
        <v>33</v>
      </c>
      <c r="N59" t="s">
        <v>22</v>
      </c>
    </row>
    <row r="60" spans="1:14">
      <c r="A60" t="s">
        <v>243</v>
      </c>
      <c r="B60" t="s">
        <v>14</v>
      </c>
      <c r="C60" s="7">
        <v>45571</v>
      </c>
      <c r="D60" t="s">
        <v>15</v>
      </c>
      <c r="E60" t="s">
        <v>41</v>
      </c>
      <c r="F60">
        <v>2080</v>
      </c>
      <c r="G60">
        <v>389</v>
      </c>
      <c r="H60">
        <v>92</v>
      </c>
      <c r="I60">
        <v>30971</v>
      </c>
      <c r="J60">
        <v>25347</v>
      </c>
      <c r="K60">
        <v>111</v>
      </c>
      <c r="L60" s="8">
        <v>8.26902586290401E-2</v>
      </c>
      <c r="M60" t="s">
        <v>21</v>
      </c>
      <c r="N60" t="s">
        <v>22</v>
      </c>
    </row>
    <row r="61" spans="1:14">
      <c r="A61" t="s">
        <v>245</v>
      </c>
      <c r="B61" t="s">
        <v>24</v>
      </c>
      <c r="C61" s="7">
        <v>45763</v>
      </c>
      <c r="D61" t="s">
        <v>15</v>
      </c>
      <c r="E61" t="s">
        <v>29</v>
      </c>
      <c r="F61">
        <v>3792</v>
      </c>
      <c r="G61">
        <v>315</v>
      </c>
      <c r="H61">
        <v>120</v>
      </c>
      <c r="I61">
        <v>54592</v>
      </c>
      <c r="J61">
        <v>67886</v>
      </c>
      <c r="K61">
        <v>117</v>
      </c>
      <c r="L61" s="8">
        <v>7.7428927315357596E-2</v>
      </c>
      <c r="M61" t="s">
        <v>45</v>
      </c>
      <c r="N61" t="s">
        <v>22</v>
      </c>
    </row>
    <row r="62" spans="1:14">
      <c r="A62" t="s">
        <v>248</v>
      </c>
      <c r="B62" t="s">
        <v>24</v>
      </c>
      <c r="C62" s="7">
        <v>45754</v>
      </c>
      <c r="D62" t="s">
        <v>15</v>
      </c>
      <c r="E62" t="s">
        <v>49</v>
      </c>
      <c r="F62">
        <v>1403</v>
      </c>
      <c r="G62">
        <v>385</v>
      </c>
      <c r="H62">
        <v>344</v>
      </c>
      <c r="I62">
        <v>54223</v>
      </c>
      <c r="J62">
        <v>72595</v>
      </c>
      <c r="K62">
        <v>239</v>
      </c>
      <c r="L62" s="8">
        <v>3.9319108127547402E-2</v>
      </c>
      <c r="M62" t="s">
        <v>45</v>
      </c>
      <c r="N62" t="s">
        <v>22</v>
      </c>
    </row>
    <row r="63" spans="1:14">
      <c r="A63" t="s">
        <v>254</v>
      </c>
      <c r="B63" t="s">
        <v>24</v>
      </c>
      <c r="C63" s="7">
        <v>45574</v>
      </c>
      <c r="D63" t="s">
        <v>15</v>
      </c>
      <c r="E63" t="s">
        <v>29</v>
      </c>
      <c r="F63">
        <v>2659</v>
      </c>
      <c r="G63">
        <v>167</v>
      </c>
      <c r="H63">
        <v>73</v>
      </c>
      <c r="I63">
        <v>23090</v>
      </c>
      <c r="J63">
        <v>25872</v>
      </c>
      <c r="K63">
        <v>293</v>
      </c>
      <c r="L63" s="8">
        <v>0.12555218709398</v>
      </c>
      <c r="M63" t="s">
        <v>45</v>
      </c>
      <c r="N63" t="s">
        <v>22</v>
      </c>
    </row>
    <row r="64" spans="1:14">
      <c r="A64" t="s">
        <v>255</v>
      </c>
      <c r="B64" t="s">
        <v>31</v>
      </c>
      <c r="C64" s="7">
        <v>45672</v>
      </c>
      <c r="D64" t="s">
        <v>15</v>
      </c>
      <c r="E64" t="s">
        <v>51</v>
      </c>
      <c r="F64">
        <v>2599</v>
      </c>
      <c r="G64">
        <v>324</v>
      </c>
      <c r="H64">
        <v>182</v>
      </c>
      <c r="I64">
        <v>37525</v>
      </c>
      <c r="J64">
        <v>37216</v>
      </c>
      <c r="K64">
        <v>186</v>
      </c>
      <c r="L64" s="8">
        <v>8.2744836775482999E-2</v>
      </c>
      <c r="M64" t="s">
        <v>33</v>
      </c>
      <c r="N64" t="s">
        <v>22</v>
      </c>
    </row>
    <row r="65" spans="1:14">
      <c r="A65" t="s">
        <v>256</v>
      </c>
      <c r="B65" t="s">
        <v>24</v>
      </c>
      <c r="C65" s="7">
        <v>45669</v>
      </c>
      <c r="D65" t="s">
        <v>15</v>
      </c>
      <c r="E65" t="s">
        <v>32</v>
      </c>
      <c r="F65">
        <v>1765</v>
      </c>
      <c r="G65">
        <v>285</v>
      </c>
      <c r="H65">
        <v>100</v>
      </c>
      <c r="I65">
        <v>41313</v>
      </c>
      <c r="J65">
        <v>56575</v>
      </c>
      <c r="K65">
        <v>174</v>
      </c>
      <c r="L65" s="8">
        <v>5.2041730205988401E-2</v>
      </c>
      <c r="M65" t="s">
        <v>45</v>
      </c>
      <c r="N65" t="s">
        <v>22</v>
      </c>
    </row>
    <row r="66" spans="1:14">
      <c r="A66" t="s">
        <v>259</v>
      </c>
      <c r="B66" t="s">
        <v>24</v>
      </c>
      <c r="C66" s="7">
        <v>45332</v>
      </c>
      <c r="D66" t="s">
        <v>15</v>
      </c>
      <c r="E66" t="s">
        <v>49</v>
      </c>
      <c r="F66">
        <v>1519</v>
      </c>
      <c r="G66">
        <v>456</v>
      </c>
      <c r="H66">
        <v>379</v>
      </c>
      <c r="I66">
        <v>51611</v>
      </c>
      <c r="J66">
        <v>45880</v>
      </c>
      <c r="K66">
        <v>176</v>
      </c>
      <c r="L66" s="8">
        <v>4.5610431884675798E-2</v>
      </c>
      <c r="M66" t="s">
        <v>45</v>
      </c>
      <c r="N66" t="s">
        <v>22</v>
      </c>
    </row>
    <row r="67" spans="1:14">
      <c r="A67" t="s">
        <v>260</v>
      </c>
      <c r="B67" t="s">
        <v>31</v>
      </c>
      <c r="C67" s="7">
        <v>45636</v>
      </c>
      <c r="D67" t="s">
        <v>15</v>
      </c>
      <c r="E67" t="s">
        <v>35</v>
      </c>
      <c r="F67">
        <v>2569</v>
      </c>
      <c r="G67">
        <v>140</v>
      </c>
      <c r="H67">
        <v>375</v>
      </c>
      <c r="I67">
        <v>38372</v>
      </c>
      <c r="J67">
        <v>22102</v>
      </c>
      <c r="K67">
        <v>255</v>
      </c>
      <c r="L67" s="8">
        <v>8.0371103929948895E-2</v>
      </c>
      <c r="M67" t="s">
        <v>33</v>
      </c>
      <c r="N67" t="s">
        <v>22</v>
      </c>
    </row>
    <row r="68" spans="1:14">
      <c r="A68" t="s">
        <v>263</v>
      </c>
      <c r="B68" t="s">
        <v>24</v>
      </c>
      <c r="C68" s="7">
        <v>45462</v>
      </c>
      <c r="D68" t="s">
        <v>15</v>
      </c>
      <c r="E68" t="s">
        <v>35</v>
      </c>
      <c r="F68">
        <v>1224</v>
      </c>
      <c r="G68">
        <v>168</v>
      </c>
      <c r="H68">
        <v>199</v>
      </c>
      <c r="I68">
        <v>54232</v>
      </c>
      <c r="J68">
        <v>52844</v>
      </c>
      <c r="K68">
        <v>271</v>
      </c>
      <c r="L68" s="8">
        <v>2.9336922849977898E-2</v>
      </c>
      <c r="M68" t="s">
        <v>45</v>
      </c>
      <c r="N68" t="s">
        <v>22</v>
      </c>
    </row>
    <row r="69" spans="1:14">
      <c r="A69" t="s">
        <v>265</v>
      </c>
      <c r="B69" t="s">
        <v>31</v>
      </c>
      <c r="C69" s="7">
        <v>45323</v>
      </c>
      <c r="D69" t="s">
        <v>15</v>
      </c>
      <c r="E69" t="s">
        <v>29</v>
      </c>
      <c r="F69">
        <v>1432</v>
      </c>
      <c r="G69">
        <v>437</v>
      </c>
      <c r="H69">
        <v>267</v>
      </c>
      <c r="I69">
        <v>40634</v>
      </c>
      <c r="J69">
        <v>54511</v>
      </c>
      <c r="K69">
        <v>197</v>
      </c>
      <c r="L69" s="8">
        <v>5.2566815966924203E-2</v>
      </c>
      <c r="M69" t="s">
        <v>33</v>
      </c>
      <c r="N69" t="s">
        <v>22</v>
      </c>
    </row>
    <row r="70" spans="1:14">
      <c r="A70" t="s">
        <v>267</v>
      </c>
      <c r="B70" t="s">
        <v>31</v>
      </c>
      <c r="C70" s="7">
        <v>45738</v>
      </c>
      <c r="D70" t="s">
        <v>15</v>
      </c>
      <c r="E70" t="s">
        <v>32</v>
      </c>
      <c r="F70">
        <v>4308</v>
      </c>
      <c r="G70">
        <v>171</v>
      </c>
      <c r="H70">
        <v>106</v>
      </c>
      <c r="I70">
        <v>36955</v>
      </c>
      <c r="J70">
        <v>23949</v>
      </c>
      <c r="K70">
        <v>294</v>
      </c>
      <c r="L70" s="8">
        <v>0.124069814639426</v>
      </c>
      <c r="M70" t="s">
        <v>33</v>
      </c>
      <c r="N70" t="s">
        <v>22</v>
      </c>
    </row>
    <row r="71" spans="1:14">
      <c r="A71" t="s">
        <v>269</v>
      </c>
      <c r="B71" t="s">
        <v>31</v>
      </c>
      <c r="C71" s="7">
        <v>45346</v>
      </c>
      <c r="D71" t="s">
        <v>15</v>
      </c>
      <c r="E71" t="s">
        <v>32</v>
      </c>
      <c r="F71">
        <v>4653</v>
      </c>
      <c r="G71">
        <v>226</v>
      </c>
      <c r="H71">
        <v>349</v>
      </c>
      <c r="I71">
        <v>56876</v>
      </c>
      <c r="J71">
        <v>28452</v>
      </c>
      <c r="K71">
        <v>257</v>
      </c>
      <c r="L71" s="8">
        <v>9.1919262958013906E-2</v>
      </c>
      <c r="M71" t="s">
        <v>33</v>
      </c>
      <c r="N71" t="s">
        <v>22</v>
      </c>
    </row>
    <row r="72" spans="1:14">
      <c r="A72" t="s">
        <v>270</v>
      </c>
      <c r="B72" t="s">
        <v>31</v>
      </c>
      <c r="C72" s="7">
        <v>45791</v>
      </c>
      <c r="D72" t="s">
        <v>15</v>
      </c>
      <c r="E72" t="s">
        <v>16</v>
      </c>
      <c r="F72">
        <v>1701</v>
      </c>
      <c r="G72">
        <v>272</v>
      </c>
      <c r="H72">
        <v>385</v>
      </c>
      <c r="I72">
        <v>47496</v>
      </c>
      <c r="J72">
        <v>40832</v>
      </c>
      <c r="K72">
        <v>246</v>
      </c>
      <c r="L72" s="8">
        <v>4.9646286003031802E-2</v>
      </c>
      <c r="M72" t="s">
        <v>33</v>
      </c>
      <c r="N72" t="s">
        <v>22</v>
      </c>
    </row>
    <row r="73" spans="1:14">
      <c r="A73" t="s">
        <v>272</v>
      </c>
      <c r="B73" t="s">
        <v>31</v>
      </c>
      <c r="C73" s="7">
        <v>45723</v>
      </c>
      <c r="D73" t="s">
        <v>15</v>
      </c>
      <c r="E73" t="s">
        <v>41</v>
      </c>
      <c r="F73">
        <v>4310</v>
      </c>
      <c r="G73">
        <v>284</v>
      </c>
      <c r="H73">
        <v>306</v>
      </c>
      <c r="I73">
        <v>44606</v>
      </c>
      <c r="J73">
        <v>42604</v>
      </c>
      <c r="K73">
        <v>290</v>
      </c>
      <c r="L73" s="8">
        <v>0.109850692731919</v>
      </c>
      <c r="M73" t="s">
        <v>33</v>
      </c>
      <c r="N73" t="s">
        <v>22</v>
      </c>
    </row>
    <row r="74" spans="1:14">
      <c r="A74" t="s">
        <v>275</v>
      </c>
      <c r="B74" t="s">
        <v>31</v>
      </c>
      <c r="C74" s="7">
        <v>45542</v>
      </c>
      <c r="D74" t="s">
        <v>15</v>
      </c>
      <c r="E74" t="s">
        <v>51</v>
      </c>
      <c r="F74">
        <v>2101</v>
      </c>
      <c r="G74">
        <v>411</v>
      </c>
      <c r="H74">
        <v>190</v>
      </c>
      <c r="I74">
        <v>41791</v>
      </c>
      <c r="J74">
        <v>57090</v>
      </c>
      <c r="K74">
        <v>172</v>
      </c>
      <c r="L74" s="8">
        <v>6.4655069273288499E-2</v>
      </c>
      <c r="M74" t="s">
        <v>33</v>
      </c>
      <c r="N74" t="s">
        <v>22</v>
      </c>
    </row>
    <row r="75" spans="1:14">
      <c r="A75" t="s">
        <v>276</v>
      </c>
      <c r="B75" t="s">
        <v>14</v>
      </c>
      <c r="C75" s="7">
        <v>45646</v>
      </c>
      <c r="D75" t="s">
        <v>15</v>
      </c>
      <c r="E75" t="s">
        <v>16</v>
      </c>
      <c r="F75">
        <v>2519</v>
      </c>
      <c r="G75">
        <v>202</v>
      </c>
      <c r="H75">
        <v>239</v>
      </c>
      <c r="I75">
        <v>36245</v>
      </c>
      <c r="J75">
        <v>48606</v>
      </c>
      <c r="K75">
        <v>145</v>
      </c>
      <c r="L75" s="8">
        <v>8.1666436749896598E-2</v>
      </c>
      <c r="M75" t="s">
        <v>21</v>
      </c>
      <c r="N75" t="s">
        <v>22</v>
      </c>
    </row>
    <row r="76" spans="1:14">
      <c r="A76" t="s">
        <v>277</v>
      </c>
      <c r="B76" t="s">
        <v>31</v>
      </c>
      <c r="C76" s="7">
        <v>45305</v>
      </c>
      <c r="D76" t="s">
        <v>15</v>
      </c>
      <c r="E76" t="s">
        <v>35</v>
      </c>
      <c r="F76">
        <v>4502</v>
      </c>
      <c r="G76">
        <v>238</v>
      </c>
      <c r="H76">
        <v>386</v>
      </c>
      <c r="I76">
        <v>39198</v>
      </c>
      <c r="J76">
        <v>25050</v>
      </c>
      <c r="K76">
        <v>297</v>
      </c>
      <c r="L76" s="8">
        <v>0.130771978162151</v>
      </c>
      <c r="M76" t="s">
        <v>33</v>
      </c>
      <c r="N76" t="s">
        <v>22</v>
      </c>
    </row>
    <row r="77" spans="1:14">
      <c r="A77" t="s">
        <v>280</v>
      </c>
      <c r="B77" t="s">
        <v>31</v>
      </c>
      <c r="C77" s="7">
        <v>45533</v>
      </c>
      <c r="D77" t="s">
        <v>15</v>
      </c>
      <c r="E77" t="s">
        <v>29</v>
      </c>
      <c r="F77">
        <v>4774</v>
      </c>
      <c r="G77">
        <v>389</v>
      </c>
      <c r="H77">
        <v>358</v>
      </c>
      <c r="I77">
        <v>52346</v>
      </c>
      <c r="J77">
        <v>30518</v>
      </c>
      <c r="K77">
        <v>277</v>
      </c>
      <c r="L77" s="8">
        <v>0.105471287204371</v>
      </c>
      <c r="M77" t="s">
        <v>33</v>
      </c>
      <c r="N77" t="s">
        <v>22</v>
      </c>
    </row>
    <row r="78" spans="1:14">
      <c r="A78" t="s">
        <v>284</v>
      </c>
      <c r="B78" t="s">
        <v>31</v>
      </c>
      <c r="C78" s="7">
        <v>45816</v>
      </c>
      <c r="D78" t="s">
        <v>15</v>
      </c>
      <c r="E78" t="s">
        <v>32</v>
      </c>
      <c r="F78">
        <v>4375</v>
      </c>
      <c r="G78">
        <v>303</v>
      </c>
      <c r="H78">
        <v>294</v>
      </c>
      <c r="I78">
        <v>57468</v>
      </c>
      <c r="J78">
        <v>53397</v>
      </c>
      <c r="K78">
        <v>159</v>
      </c>
      <c r="L78" s="8">
        <v>8.6517714206166899E-2</v>
      </c>
      <c r="M78" t="s">
        <v>33</v>
      </c>
      <c r="N78" t="s">
        <v>22</v>
      </c>
    </row>
    <row r="79" spans="1:14">
      <c r="A79" t="s">
        <v>289</v>
      </c>
      <c r="B79" t="s">
        <v>14</v>
      </c>
      <c r="C79" s="7">
        <v>45357</v>
      </c>
      <c r="D79" t="s">
        <v>15</v>
      </c>
      <c r="E79" t="s">
        <v>35</v>
      </c>
      <c r="F79">
        <v>3529</v>
      </c>
      <c r="G79">
        <v>263</v>
      </c>
      <c r="H79">
        <v>107</v>
      </c>
      <c r="I79">
        <v>26570</v>
      </c>
      <c r="J79">
        <v>19367</v>
      </c>
      <c r="K79">
        <v>96</v>
      </c>
      <c r="L79" s="8">
        <v>0.14674444862627001</v>
      </c>
      <c r="M79" t="s">
        <v>21</v>
      </c>
      <c r="N79" t="s">
        <v>22</v>
      </c>
    </row>
    <row r="80" spans="1:14">
      <c r="A80" t="s">
        <v>291</v>
      </c>
      <c r="B80" t="s">
        <v>24</v>
      </c>
      <c r="C80" s="7">
        <v>45480</v>
      </c>
      <c r="D80" t="s">
        <v>15</v>
      </c>
      <c r="E80" t="s">
        <v>35</v>
      </c>
      <c r="F80">
        <v>1848</v>
      </c>
      <c r="G80">
        <v>417</v>
      </c>
      <c r="H80">
        <v>294</v>
      </c>
      <c r="I80">
        <v>57819</v>
      </c>
      <c r="J80">
        <v>19798</v>
      </c>
      <c r="K80">
        <v>262</v>
      </c>
      <c r="L80" s="8">
        <v>4.42588076583822E-2</v>
      </c>
      <c r="M80" t="s">
        <v>45</v>
      </c>
      <c r="N80" t="s">
        <v>22</v>
      </c>
    </row>
    <row r="81" spans="1:14">
      <c r="A81" t="s">
        <v>292</v>
      </c>
      <c r="B81" t="s">
        <v>31</v>
      </c>
      <c r="C81" s="7">
        <v>45591</v>
      </c>
      <c r="D81" t="s">
        <v>15</v>
      </c>
      <c r="E81" t="s">
        <v>26</v>
      </c>
      <c r="F81">
        <v>4676</v>
      </c>
      <c r="G81">
        <v>211</v>
      </c>
      <c r="H81">
        <v>55</v>
      </c>
      <c r="I81">
        <v>45917</v>
      </c>
      <c r="J81">
        <v>73503</v>
      </c>
      <c r="K81">
        <v>248</v>
      </c>
      <c r="L81" s="8">
        <v>0.107628982729708</v>
      </c>
      <c r="M81" t="s">
        <v>33</v>
      </c>
      <c r="N81" t="s">
        <v>22</v>
      </c>
    </row>
    <row r="82" spans="1:14">
      <c r="A82" t="s">
        <v>293</v>
      </c>
      <c r="B82" t="s">
        <v>31</v>
      </c>
      <c r="C82" s="7">
        <v>45512</v>
      </c>
      <c r="D82" t="s">
        <v>15</v>
      </c>
      <c r="E82" t="s">
        <v>49</v>
      </c>
      <c r="F82">
        <v>1994</v>
      </c>
      <c r="G82">
        <v>197</v>
      </c>
      <c r="H82">
        <v>290</v>
      </c>
      <c r="I82">
        <v>49500</v>
      </c>
      <c r="J82">
        <v>23343</v>
      </c>
      <c r="K82">
        <v>160</v>
      </c>
      <c r="L82" s="8">
        <v>5.0121212121212101E-2</v>
      </c>
      <c r="M82" t="s">
        <v>33</v>
      </c>
      <c r="N82" t="s">
        <v>22</v>
      </c>
    </row>
    <row r="83" spans="1:14">
      <c r="A83" t="s">
        <v>301</v>
      </c>
      <c r="B83" t="s">
        <v>24</v>
      </c>
      <c r="C83" s="7">
        <v>45612</v>
      </c>
      <c r="D83" t="s">
        <v>15</v>
      </c>
      <c r="E83" t="s">
        <v>49</v>
      </c>
      <c r="F83">
        <v>2972</v>
      </c>
      <c r="G83">
        <v>263</v>
      </c>
      <c r="H83">
        <v>308</v>
      </c>
      <c r="I83">
        <v>51740</v>
      </c>
      <c r="J83">
        <v>28214</v>
      </c>
      <c r="K83">
        <v>190</v>
      </c>
      <c r="L83" s="8">
        <v>6.8477000386548095E-2</v>
      </c>
      <c r="M83" t="s">
        <v>45</v>
      </c>
      <c r="N83" t="s">
        <v>22</v>
      </c>
    </row>
    <row r="84" spans="1:14">
      <c r="A84" t="s">
        <v>303</v>
      </c>
      <c r="B84" t="s">
        <v>31</v>
      </c>
      <c r="C84" s="7">
        <v>45378</v>
      </c>
      <c r="D84" t="s">
        <v>15</v>
      </c>
      <c r="E84" t="s">
        <v>32</v>
      </c>
      <c r="F84">
        <v>2399</v>
      </c>
      <c r="G84">
        <v>191</v>
      </c>
      <c r="H84">
        <v>221</v>
      </c>
      <c r="I84">
        <v>51603</v>
      </c>
      <c r="J84">
        <v>40033</v>
      </c>
      <c r="K84">
        <v>173</v>
      </c>
      <c r="L84" s="8">
        <v>5.4473577117609397E-2</v>
      </c>
      <c r="M84" t="s">
        <v>33</v>
      </c>
      <c r="N84" t="s">
        <v>22</v>
      </c>
    </row>
    <row r="85" spans="1:14">
      <c r="A85" t="s">
        <v>307</v>
      </c>
      <c r="B85" t="s">
        <v>31</v>
      </c>
      <c r="C85" s="7">
        <v>45604</v>
      </c>
      <c r="D85" t="s">
        <v>15</v>
      </c>
      <c r="E85" t="s">
        <v>41</v>
      </c>
      <c r="F85">
        <v>2471</v>
      </c>
      <c r="G85">
        <v>166</v>
      </c>
      <c r="H85">
        <v>320</v>
      </c>
      <c r="I85">
        <v>48254</v>
      </c>
      <c r="J85">
        <v>46900</v>
      </c>
      <c r="K85">
        <v>111</v>
      </c>
      <c r="L85" s="8">
        <v>6.1279893894806599E-2</v>
      </c>
      <c r="M85" t="s">
        <v>33</v>
      </c>
      <c r="N85" t="s">
        <v>22</v>
      </c>
    </row>
    <row r="86" spans="1:14">
      <c r="A86" t="s">
        <v>312</v>
      </c>
      <c r="B86" t="s">
        <v>24</v>
      </c>
      <c r="C86" s="7">
        <v>45603</v>
      </c>
      <c r="D86" t="s">
        <v>15</v>
      </c>
      <c r="E86" t="s">
        <v>20</v>
      </c>
      <c r="F86">
        <v>2229</v>
      </c>
      <c r="G86">
        <v>395</v>
      </c>
      <c r="H86">
        <v>328</v>
      </c>
      <c r="I86">
        <v>56921</v>
      </c>
      <c r="J86">
        <v>37176</v>
      </c>
      <c r="K86">
        <v>126</v>
      </c>
      <c r="L86" s="8">
        <v>5.1861351697967399E-2</v>
      </c>
      <c r="M86" t="s">
        <v>45</v>
      </c>
      <c r="N86" t="s">
        <v>22</v>
      </c>
    </row>
    <row r="87" spans="1:14">
      <c r="A87" t="s">
        <v>314</v>
      </c>
      <c r="B87" t="s">
        <v>14</v>
      </c>
      <c r="C87" s="7">
        <v>45573</v>
      </c>
      <c r="D87" t="s">
        <v>15</v>
      </c>
      <c r="E87" t="s">
        <v>20</v>
      </c>
      <c r="F87">
        <v>2110</v>
      </c>
      <c r="G87">
        <v>384</v>
      </c>
      <c r="H87">
        <v>236</v>
      </c>
      <c r="I87">
        <v>49965</v>
      </c>
      <c r="J87">
        <v>61555</v>
      </c>
      <c r="K87">
        <v>195</v>
      </c>
      <c r="L87" s="8">
        <v>5.46382467727409E-2</v>
      </c>
      <c r="M87" t="s">
        <v>21</v>
      </c>
      <c r="N87" t="s">
        <v>22</v>
      </c>
    </row>
    <row r="88" spans="1:14">
      <c r="A88" t="s">
        <v>315</v>
      </c>
      <c r="B88" t="s">
        <v>14</v>
      </c>
      <c r="C88" s="7">
        <v>45341</v>
      </c>
      <c r="D88" t="s">
        <v>15</v>
      </c>
      <c r="E88" t="s">
        <v>29</v>
      </c>
      <c r="F88">
        <v>4752</v>
      </c>
      <c r="G88">
        <v>449</v>
      </c>
      <c r="H88">
        <v>309</v>
      </c>
      <c r="I88">
        <v>58530</v>
      </c>
      <c r="J88">
        <v>26630</v>
      </c>
      <c r="K88">
        <v>234</v>
      </c>
      <c r="L88" s="8">
        <v>9.4139757389372997E-2</v>
      </c>
      <c r="M88" t="s">
        <v>21</v>
      </c>
      <c r="N88" t="s">
        <v>22</v>
      </c>
    </row>
    <row r="89" spans="1:14">
      <c r="A89" t="s">
        <v>323</v>
      </c>
      <c r="B89" t="s">
        <v>14</v>
      </c>
      <c r="C89" s="7">
        <v>45531</v>
      </c>
      <c r="D89" t="s">
        <v>15</v>
      </c>
      <c r="E89" t="s">
        <v>32</v>
      </c>
      <c r="F89">
        <v>4197</v>
      </c>
      <c r="G89">
        <v>359</v>
      </c>
      <c r="H89">
        <v>280</v>
      </c>
      <c r="I89">
        <v>56048</v>
      </c>
      <c r="J89">
        <v>70930</v>
      </c>
      <c r="K89">
        <v>295</v>
      </c>
      <c r="L89" s="8">
        <v>8.6283185840708002E-2</v>
      </c>
      <c r="M89" t="s">
        <v>21</v>
      </c>
      <c r="N89" t="s">
        <v>22</v>
      </c>
    </row>
    <row r="90" spans="1:14">
      <c r="A90" t="s">
        <v>325</v>
      </c>
      <c r="B90" t="s">
        <v>31</v>
      </c>
      <c r="C90" s="7">
        <v>45686</v>
      </c>
      <c r="D90" t="s">
        <v>15</v>
      </c>
      <c r="E90" t="s">
        <v>26</v>
      </c>
      <c r="F90">
        <v>1334</v>
      </c>
      <c r="G90">
        <v>357</v>
      </c>
      <c r="H90">
        <v>257</v>
      </c>
      <c r="I90">
        <v>56910</v>
      </c>
      <c r="J90">
        <v>70606</v>
      </c>
      <c r="K90">
        <v>228</v>
      </c>
      <c r="L90" s="8">
        <v>3.42294851519944E-2</v>
      </c>
      <c r="M90" t="s">
        <v>33</v>
      </c>
      <c r="N90" t="s">
        <v>22</v>
      </c>
    </row>
    <row r="91" spans="1:14">
      <c r="A91" t="s">
        <v>326</v>
      </c>
      <c r="B91" t="s">
        <v>14</v>
      </c>
      <c r="C91" s="7">
        <v>45413</v>
      </c>
      <c r="D91" t="s">
        <v>15</v>
      </c>
      <c r="E91" t="s">
        <v>37</v>
      </c>
      <c r="F91">
        <v>3359</v>
      </c>
      <c r="G91">
        <v>137</v>
      </c>
      <c r="H91">
        <v>387</v>
      </c>
      <c r="I91">
        <v>33861</v>
      </c>
      <c r="J91">
        <v>47257</v>
      </c>
      <c r="K91">
        <v>198</v>
      </c>
      <c r="L91" s="8">
        <v>0.114674699506807</v>
      </c>
      <c r="M91" t="s">
        <v>21</v>
      </c>
      <c r="N91" t="s">
        <v>22</v>
      </c>
    </row>
    <row r="92" spans="1:14">
      <c r="A92" t="s">
        <v>327</v>
      </c>
      <c r="B92" t="s">
        <v>31</v>
      </c>
      <c r="C92" s="7">
        <v>45468</v>
      </c>
      <c r="D92" t="s">
        <v>15</v>
      </c>
      <c r="E92" t="s">
        <v>51</v>
      </c>
      <c r="F92">
        <v>2172</v>
      </c>
      <c r="G92">
        <v>338</v>
      </c>
      <c r="H92">
        <v>70</v>
      </c>
      <c r="I92">
        <v>30515</v>
      </c>
      <c r="J92">
        <v>57853</v>
      </c>
      <c r="K92">
        <v>156</v>
      </c>
      <c r="L92" s="8">
        <v>8.4548582664263502E-2</v>
      </c>
      <c r="M92" t="s">
        <v>33</v>
      </c>
      <c r="N92" t="s">
        <v>22</v>
      </c>
    </row>
    <row r="93" spans="1:14">
      <c r="A93" t="s">
        <v>330</v>
      </c>
      <c r="B93" t="s">
        <v>24</v>
      </c>
      <c r="C93" s="7">
        <v>45517</v>
      </c>
      <c r="D93" t="s">
        <v>15</v>
      </c>
      <c r="E93" t="s">
        <v>20</v>
      </c>
      <c r="F93">
        <v>3418</v>
      </c>
      <c r="G93">
        <v>107</v>
      </c>
      <c r="H93">
        <v>221</v>
      </c>
      <c r="I93">
        <v>23927</v>
      </c>
      <c r="J93">
        <v>26182</v>
      </c>
      <c r="K93">
        <v>155</v>
      </c>
      <c r="L93" s="8">
        <v>0.15655953525306099</v>
      </c>
      <c r="M93" t="s">
        <v>45</v>
      </c>
      <c r="N93" t="s">
        <v>22</v>
      </c>
    </row>
    <row r="94" spans="1:14">
      <c r="A94" t="s">
        <v>334</v>
      </c>
      <c r="B94" t="s">
        <v>14</v>
      </c>
      <c r="C94" s="7">
        <v>45653</v>
      </c>
      <c r="D94" t="s">
        <v>15</v>
      </c>
      <c r="E94" t="s">
        <v>49</v>
      </c>
      <c r="F94">
        <v>1436</v>
      </c>
      <c r="G94">
        <v>219</v>
      </c>
      <c r="H94">
        <v>229</v>
      </c>
      <c r="I94">
        <v>58488</v>
      </c>
      <c r="J94">
        <v>24314</v>
      </c>
      <c r="K94">
        <v>147</v>
      </c>
      <c r="L94" s="8">
        <v>3.2211735740664799E-2</v>
      </c>
      <c r="M94" t="s">
        <v>21</v>
      </c>
      <c r="N94" t="s">
        <v>22</v>
      </c>
    </row>
    <row r="95" spans="1:14">
      <c r="A95" t="s">
        <v>337</v>
      </c>
      <c r="B95" t="s">
        <v>24</v>
      </c>
      <c r="C95" s="7">
        <v>45612</v>
      </c>
      <c r="D95" t="s">
        <v>15</v>
      </c>
      <c r="E95" t="s">
        <v>20</v>
      </c>
      <c r="F95">
        <v>2901</v>
      </c>
      <c r="G95">
        <v>108</v>
      </c>
      <c r="H95">
        <v>86</v>
      </c>
      <c r="I95">
        <v>51777</v>
      </c>
      <c r="J95">
        <v>23773</v>
      </c>
      <c r="K95">
        <v>160</v>
      </c>
      <c r="L95" s="8">
        <v>5.9775576027966099E-2</v>
      </c>
      <c r="M95" t="s">
        <v>45</v>
      </c>
      <c r="N95" t="s">
        <v>22</v>
      </c>
    </row>
    <row r="96" spans="1:14">
      <c r="A96" t="s">
        <v>13</v>
      </c>
      <c r="B96" t="s">
        <v>14</v>
      </c>
      <c r="C96" s="7">
        <v>45781</v>
      </c>
      <c r="D96" t="s">
        <v>15</v>
      </c>
      <c r="E96" t="s">
        <v>16</v>
      </c>
      <c r="F96">
        <v>2414</v>
      </c>
      <c r="G96">
        <v>245</v>
      </c>
      <c r="H96">
        <v>137</v>
      </c>
      <c r="I96">
        <v>21181</v>
      </c>
      <c r="J96">
        <v>45292</v>
      </c>
      <c r="K96">
        <v>133</v>
      </c>
      <c r="L96" s="8">
        <v>0.13200509890939999</v>
      </c>
      <c r="M96" t="s">
        <v>17</v>
      </c>
      <c r="N96" t="s">
        <v>18</v>
      </c>
    </row>
    <row r="97" spans="1:14">
      <c r="A97" t="s">
        <v>28</v>
      </c>
      <c r="B97" t="s">
        <v>14</v>
      </c>
      <c r="C97" s="7">
        <v>45629</v>
      </c>
      <c r="D97" t="s">
        <v>15</v>
      </c>
      <c r="E97" t="s">
        <v>29</v>
      </c>
      <c r="F97">
        <v>3173</v>
      </c>
      <c r="G97">
        <v>229</v>
      </c>
      <c r="H97">
        <v>197</v>
      </c>
      <c r="I97">
        <v>29604</v>
      </c>
      <c r="J97">
        <v>21809</v>
      </c>
      <c r="K97">
        <v>272</v>
      </c>
      <c r="L97" s="8">
        <v>0.12157140926901799</v>
      </c>
      <c r="M97" t="s">
        <v>17</v>
      </c>
      <c r="N97" t="s">
        <v>18</v>
      </c>
    </row>
    <row r="98" spans="1:14">
      <c r="A98" t="s">
        <v>40</v>
      </c>
      <c r="B98" t="s">
        <v>24</v>
      </c>
      <c r="C98" s="7">
        <v>45823</v>
      </c>
      <c r="D98" t="s">
        <v>15</v>
      </c>
      <c r="E98" t="s">
        <v>41</v>
      </c>
      <c r="F98">
        <v>4432</v>
      </c>
      <c r="G98">
        <v>223</v>
      </c>
      <c r="H98">
        <v>299</v>
      </c>
      <c r="I98">
        <v>59016</v>
      </c>
      <c r="J98">
        <v>21742</v>
      </c>
      <c r="K98">
        <v>171</v>
      </c>
      <c r="L98" s="8">
        <v>8.3943337400027102E-2</v>
      </c>
      <c r="M98" t="s">
        <v>42</v>
      </c>
      <c r="N98" t="s">
        <v>18</v>
      </c>
    </row>
    <row r="99" spans="1:14">
      <c r="A99" t="s">
        <v>43</v>
      </c>
      <c r="B99" t="s">
        <v>24</v>
      </c>
      <c r="C99" s="7">
        <v>45630</v>
      </c>
      <c r="D99" t="s">
        <v>15</v>
      </c>
      <c r="E99" t="s">
        <v>29</v>
      </c>
      <c r="F99">
        <v>2357</v>
      </c>
      <c r="G99">
        <v>274</v>
      </c>
      <c r="H99">
        <v>172</v>
      </c>
      <c r="I99">
        <v>21566</v>
      </c>
      <c r="J99">
        <v>66829</v>
      </c>
      <c r="K99">
        <v>284</v>
      </c>
      <c r="L99" s="8">
        <v>0.129973105814708</v>
      </c>
      <c r="M99" t="s">
        <v>42</v>
      </c>
      <c r="N99" t="s">
        <v>18</v>
      </c>
    </row>
    <row r="100" spans="1:14">
      <c r="A100" t="s">
        <v>46</v>
      </c>
      <c r="B100" t="s">
        <v>14</v>
      </c>
      <c r="C100" s="7">
        <v>45426</v>
      </c>
      <c r="D100" t="s">
        <v>15</v>
      </c>
      <c r="E100" t="s">
        <v>16</v>
      </c>
      <c r="F100">
        <v>1485</v>
      </c>
      <c r="G100">
        <v>353</v>
      </c>
      <c r="H100">
        <v>244</v>
      </c>
      <c r="I100">
        <v>38419</v>
      </c>
      <c r="J100">
        <v>38556</v>
      </c>
      <c r="K100">
        <v>86</v>
      </c>
      <c r="L100" s="8">
        <v>5.4191936281527402E-2</v>
      </c>
      <c r="M100" t="s">
        <v>17</v>
      </c>
      <c r="N100" t="s">
        <v>18</v>
      </c>
    </row>
    <row r="101" spans="1:14">
      <c r="A101" t="s">
        <v>48</v>
      </c>
      <c r="B101" t="s">
        <v>24</v>
      </c>
      <c r="C101" s="7">
        <v>45573</v>
      </c>
      <c r="D101" t="s">
        <v>15</v>
      </c>
      <c r="E101" t="s">
        <v>49</v>
      </c>
      <c r="F101">
        <v>2460</v>
      </c>
      <c r="G101">
        <v>409</v>
      </c>
      <c r="H101">
        <v>253</v>
      </c>
      <c r="I101">
        <v>36702</v>
      </c>
      <c r="J101">
        <v>46122</v>
      </c>
      <c r="K101">
        <v>264</v>
      </c>
      <c r="L101" s="8">
        <v>8.5063484278785906E-2</v>
      </c>
      <c r="M101" t="s">
        <v>42</v>
      </c>
      <c r="N101" t="s">
        <v>18</v>
      </c>
    </row>
    <row r="102" spans="1:14">
      <c r="A102" t="s">
        <v>50</v>
      </c>
      <c r="B102" t="s">
        <v>24</v>
      </c>
      <c r="C102" s="7">
        <v>45418</v>
      </c>
      <c r="D102" t="s">
        <v>15</v>
      </c>
      <c r="E102" t="s">
        <v>51</v>
      </c>
      <c r="F102">
        <v>3476</v>
      </c>
      <c r="G102">
        <v>355</v>
      </c>
      <c r="H102">
        <v>396</v>
      </c>
      <c r="I102">
        <v>37492</v>
      </c>
      <c r="J102">
        <v>27285</v>
      </c>
      <c r="K102">
        <v>179</v>
      </c>
      <c r="L102" s="8">
        <v>0.11274405206444001</v>
      </c>
      <c r="M102" t="s">
        <v>42</v>
      </c>
      <c r="N102" t="s">
        <v>18</v>
      </c>
    </row>
    <row r="103" spans="1:14">
      <c r="A103" t="s">
        <v>53</v>
      </c>
      <c r="B103" t="s">
        <v>24</v>
      </c>
      <c r="C103" s="7">
        <v>45453</v>
      </c>
      <c r="D103" t="s">
        <v>15</v>
      </c>
      <c r="E103" t="s">
        <v>35</v>
      </c>
      <c r="F103">
        <v>1514</v>
      </c>
      <c r="G103">
        <v>164</v>
      </c>
      <c r="H103">
        <v>275</v>
      </c>
      <c r="I103">
        <v>41364</v>
      </c>
      <c r="J103">
        <v>44389</v>
      </c>
      <c r="K103">
        <v>83</v>
      </c>
      <c r="L103" s="8">
        <v>4.72149695387293E-2</v>
      </c>
      <c r="M103" t="s">
        <v>42</v>
      </c>
      <c r="N103" t="s">
        <v>18</v>
      </c>
    </row>
    <row r="104" spans="1:14">
      <c r="A104" t="s">
        <v>62</v>
      </c>
      <c r="B104" t="s">
        <v>14</v>
      </c>
      <c r="C104" s="7">
        <v>45823</v>
      </c>
      <c r="D104" t="s">
        <v>15</v>
      </c>
      <c r="E104" t="s">
        <v>35</v>
      </c>
      <c r="F104">
        <v>4896</v>
      </c>
      <c r="G104">
        <v>466</v>
      </c>
      <c r="H104">
        <v>233</v>
      </c>
      <c r="I104">
        <v>28621</v>
      </c>
      <c r="J104">
        <v>34270</v>
      </c>
      <c r="K104">
        <v>84</v>
      </c>
      <c r="L104" s="8">
        <v>0.19548583208133899</v>
      </c>
      <c r="M104" t="s">
        <v>17</v>
      </c>
      <c r="N104" t="s">
        <v>18</v>
      </c>
    </row>
    <row r="105" spans="1:14">
      <c r="A105" t="s">
        <v>67</v>
      </c>
      <c r="B105" t="s">
        <v>14</v>
      </c>
      <c r="C105" s="7">
        <v>45625</v>
      </c>
      <c r="D105" t="s">
        <v>15</v>
      </c>
      <c r="E105" t="s">
        <v>35</v>
      </c>
      <c r="F105">
        <v>2824</v>
      </c>
      <c r="G105">
        <v>425</v>
      </c>
      <c r="H105">
        <v>274</v>
      </c>
      <c r="I105">
        <v>31004</v>
      </c>
      <c r="J105">
        <v>53488</v>
      </c>
      <c r="K105">
        <v>268</v>
      </c>
      <c r="L105" s="8">
        <v>0.11363049929041399</v>
      </c>
      <c r="M105" t="s">
        <v>17</v>
      </c>
      <c r="N105" t="s">
        <v>18</v>
      </c>
    </row>
    <row r="106" spans="1:14">
      <c r="A106" t="s">
        <v>70</v>
      </c>
      <c r="B106" t="s">
        <v>24</v>
      </c>
      <c r="C106" s="7">
        <v>45773</v>
      </c>
      <c r="D106" t="s">
        <v>15</v>
      </c>
      <c r="E106" t="s">
        <v>16</v>
      </c>
      <c r="F106">
        <v>2411</v>
      </c>
      <c r="G106">
        <v>194</v>
      </c>
      <c r="H106">
        <v>168</v>
      </c>
      <c r="I106">
        <v>26665</v>
      </c>
      <c r="J106">
        <v>71699</v>
      </c>
      <c r="K106">
        <v>197</v>
      </c>
      <c r="L106" s="8">
        <v>0.103993999624977</v>
      </c>
      <c r="M106" t="s">
        <v>42</v>
      </c>
      <c r="N106" t="s">
        <v>18</v>
      </c>
    </row>
    <row r="107" spans="1:14">
      <c r="A107" t="s">
        <v>71</v>
      </c>
      <c r="B107" t="s">
        <v>14</v>
      </c>
      <c r="C107" s="7">
        <v>45658</v>
      </c>
      <c r="D107" t="s">
        <v>15</v>
      </c>
      <c r="E107" t="s">
        <v>26</v>
      </c>
      <c r="F107">
        <v>4036</v>
      </c>
      <c r="G107">
        <v>112</v>
      </c>
      <c r="H107">
        <v>382</v>
      </c>
      <c r="I107">
        <v>56284</v>
      </c>
      <c r="J107">
        <v>29440</v>
      </c>
      <c r="K107">
        <v>279</v>
      </c>
      <c r="L107" s="8">
        <v>8.0484684812735394E-2</v>
      </c>
      <c r="M107" t="s">
        <v>17</v>
      </c>
      <c r="N107" t="s">
        <v>18</v>
      </c>
    </row>
    <row r="108" spans="1:14">
      <c r="A108" t="s">
        <v>74</v>
      </c>
      <c r="B108" t="s">
        <v>14</v>
      </c>
      <c r="C108" s="7">
        <v>45666</v>
      </c>
      <c r="D108" t="s">
        <v>15</v>
      </c>
      <c r="E108" t="s">
        <v>26</v>
      </c>
      <c r="F108">
        <v>1015</v>
      </c>
      <c r="G108">
        <v>366</v>
      </c>
      <c r="H108">
        <v>308</v>
      </c>
      <c r="I108">
        <v>38127</v>
      </c>
      <c r="J108">
        <v>63790</v>
      </c>
      <c r="K108">
        <v>287</v>
      </c>
      <c r="L108" s="8">
        <v>4.4299315445747098E-2</v>
      </c>
      <c r="M108" t="s">
        <v>17</v>
      </c>
      <c r="N108" t="s">
        <v>18</v>
      </c>
    </row>
    <row r="109" spans="1:14">
      <c r="A109" t="s">
        <v>80</v>
      </c>
      <c r="B109" t="s">
        <v>24</v>
      </c>
      <c r="C109" s="7">
        <v>45818</v>
      </c>
      <c r="D109" t="s">
        <v>15</v>
      </c>
      <c r="E109" t="s">
        <v>20</v>
      </c>
      <c r="F109">
        <v>3615</v>
      </c>
      <c r="G109">
        <v>192</v>
      </c>
      <c r="H109">
        <v>162</v>
      </c>
      <c r="I109">
        <v>27492</v>
      </c>
      <c r="J109">
        <v>35341</v>
      </c>
      <c r="K109">
        <v>125</v>
      </c>
      <c r="L109" s="8">
        <v>0.14436927106067199</v>
      </c>
      <c r="M109" t="s">
        <v>42</v>
      </c>
      <c r="N109" t="s">
        <v>18</v>
      </c>
    </row>
    <row r="110" spans="1:14">
      <c r="A110" t="s">
        <v>81</v>
      </c>
      <c r="B110" t="s">
        <v>14</v>
      </c>
      <c r="C110" s="7">
        <v>45401</v>
      </c>
      <c r="D110" t="s">
        <v>15</v>
      </c>
      <c r="E110" t="s">
        <v>26</v>
      </c>
      <c r="F110">
        <v>4001</v>
      </c>
      <c r="G110">
        <v>353</v>
      </c>
      <c r="H110">
        <v>129</v>
      </c>
      <c r="I110">
        <v>41265</v>
      </c>
      <c r="J110">
        <v>37279</v>
      </c>
      <c r="K110">
        <v>275</v>
      </c>
      <c r="L110" s="8">
        <v>0.10863928268508399</v>
      </c>
      <c r="M110" t="s">
        <v>17</v>
      </c>
      <c r="N110" t="s">
        <v>18</v>
      </c>
    </row>
    <row r="111" spans="1:14">
      <c r="A111" t="s">
        <v>83</v>
      </c>
      <c r="B111" t="s">
        <v>14</v>
      </c>
      <c r="C111" s="7">
        <v>45702</v>
      </c>
      <c r="D111" t="s">
        <v>15</v>
      </c>
      <c r="E111" t="s">
        <v>41</v>
      </c>
      <c r="F111">
        <v>4891</v>
      </c>
      <c r="G111">
        <v>450</v>
      </c>
      <c r="H111">
        <v>387</v>
      </c>
      <c r="I111">
        <v>48746</v>
      </c>
      <c r="J111">
        <v>37312</v>
      </c>
      <c r="K111">
        <v>154</v>
      </c>
      <c r="L111" s="8">
        <v>0.11750707750379499</v>
      </c>
      <c r="M111" t="s">
        <v>17</v>
      </c>
      <c r="N111" t="s">
        <v>18</v>
      </c>
    </row>
    <row r="112" spans="1:14">
      <c r="A112" t="s">
        <v>90</v>
      </c>
      <c r="B112" t="s">
        <v>24</v>
      </c>
      <c r="C112" s="7">
        <v>45769</v>
      </c>
      <c r="D112" t="s">
        <v>15</v>
      </c>
      <c r="E112" t="s">
        <v>16</v>
      </c>
      <c r="F112">
        <v>4401</v>
      </c>
      <c r="G112">
        <v>421</v>
      </c>
      <c r="H112">
        <v>216</v>
      </c>
      <c r="I112">
        <v>24890</v>
      </c>
      <c r="J112">
        <v>54361</v>
      </c>
      <c r="K112">
        <v>148</v>
      </c>
      <c r="L112" s="8">
        <v>0.20241060666934499</v>
      </c>
      <c r="M112" t="s">
        <v>42</v>
      </c>
      <c r="N112" t="s">
        <v>18</v>
      </c>
    </row>
    <row r="113" spans="1:14">
      <c r="A113" t="s">
        <v>95</v>
      </c>
      <c r="B113" t="s">
        <v>24</v>
      </c>
      <c r="C113" s="7">
        <v>45420</v>
      </c>
      <c r="D113" t="s">
        <v>15</v>
      </c>
      <c r="E113" t="s">
        <v>20</v>
      </c>
      <c r="F113">
        <v>1828</v>
      </c>
      <c r="G113">
        <v>450</v>
      </c>
      <c r="H113">
        <v>214</v>
      </c>
      <c r="I113">
        <v>52115</v>
      </c>
      <c r="J113">
        <v>19166</v>
      </c>
      <c r="K113">
        <v>190</v>
      </c>
      <c r="L113" s="8">
        <v>4.7817327065144397E-2</v>
      </c>
      <c r="M113" t="s">
        <v>42</v>
      </c>
      <c r="N113" t="s">
        <v>18</v>
      </c>
    </row>
    <row r="114" spans="1:14">
      <c r="A114" t="s">
        <v>106</v>
      </c>
      <c r="B114" t="s">
        <v>14</v>
      </c>
      <c r="C114" s="7">
        <v>45763</v>
      </c>
      <c r="D114" t="s">
        <v>15</v>
      </c>
      <c r="E114" t="s">
        <v>29</v>
      </c>
      <c r="F114">
        <v>4836</v>
      </c>
      <c r="G114">
        <v>331</v>
      </c>
      <c r="H114">
        <v>140</v>
      </c>
      <c r="I114">
        <v>58792</v>
      </c>
      <c r="J114">
        <v>47711</v>
      </c>
      <c r="K114">
        <v>227</v>
      </c>
      <c r="L114" s="8">
        <v>9.0267383317458205E-2</v>
      </c>
      <c r="M114" t="s">
        <v>17</v>
      </c>
      <c r="N114" t="s">
        <v>18</v>
      </c>
    </row>
    <row r="115" spans="1:14">
      <c r="A115" t="s">
        <v>110</v>
      </c>
      <c r="B115" t="s">
        <v>24</v>
      </c>
      <c r="C115" s="7">
        <v>45662</v>
      </c>
      <c r="D115" t="s">
        <v>15</v>
      </c>
      <c r="E115" t="s">
        <v>29</v>
      </c>
      <c r="F115">
        <v>4811</v>
      </c>
      <c r="G115">
        <v>473</v>
      </c>
      <c r="H115">
        <v>254</v>
      </c>
      <c r="I115">
        <v>51964</v>
      </c>
      <c r="J115">
        <v>68795</v>
      </c>
      <c r="K115">
        <v>107</v>
      </c>
      <c r="L115" s="8">
        <v>0.106573781848972</v>
      </c>
      <c r="M115" t="s">
        <v>42</v>
      </c>
      <c r="N115" t="s">
        <v>18</v>
      </c>
    </row>
    <row r="116" spans="1:14">
      <c r="A116" t="s">
        <v>117</v>
      </c>
      <c r="B116" t="s">
        <v>24</v>
      </c>
      <c r="C116" s="7">
        <v>45805</v>
      </c>
      <c r="D116" t="s">
        <v>15</v>
      </c>
      <c r="E116" t="s">
        <v>49</v>
      </c>
      <c r="F116">
        <v>2418</v>
      </c>
      <c r="G116">
        <v>161</v>
      </c>
      <c r="H116">
        <v>360</v>
      </c>
      <c r="I116">
        <v>30589</v>
      </c>
      <c r="J116">
        <v>41383</v>
      </c>
      <c r="K116">
        <v>88</v>
      </c>
      <c r="L116" s="8">
        <v>9.6080290300434801E-2</v>
      </c>
      <c r="M116" t="s">
        <v>42</v>
      </c>
      <c r="N116" t="s">
        <v>18</v>
      </c>
    </row>
    <row r="117" spans="1:14">
      <c r="A117" t="s">
        <v>120</v>
      </c>
      <c r="B117" t="s">
        <v>14</v>
      </c>
      <c r="C117" s="7">
        <v>45825</v>
      </c>
      <c r="D117" t="s">
        <v>15</v>
      </c>
      <c r="E117" t="s">
        <v>32</v>
      </c>
      <c r="F117">
        <v>2284</v>
      </c>
      <c r="G117">
        <v>187</v>
      </c>
      <c r="H117">
        <v>260</v>
      </c>
      <c r="I117">
        <v>37400</v>
      </c>
      <c r="J117">
        <v>65014</v>
      </c>
      <c r="K117">
        <v>157</v>
      </c>
      <c r="L117" s="8">
        <v>7.3021390374331599E-2</v>
      </c>
      <c r="M117" t="s">
        <v>17</v>
      </c>
      <c r="N117" t="s">
        <v>18</v>
      </c>
    </row>
    <row r="118" spans="1:14">
      <c r="A118" t="s">
        <v>124</v>
      </c>
      <c r="B118" t="s">
        <v>24</v>
      </c>
      <c r="C118" s="7">
        <v>45507</v>
      </c>
      <c r="D118" t="s">
        <v>15</v>
      </c>
      <c r="E118" t="s">
        <v>51</v>
      </c>
      <c r="F118">
        <v>4247</v>
      </c>
      <c r="G118">
        <v>390</v>
      </c>
      <c r="H118">
        <v>213</v>
      </c>
      <c r="I118">
        <v>29785</v>
      </c>
      <c r="J118">
        <v>57768</v>
      </c>
      <c r="K118">
        <v>122</v>
      </c>
      <c r="L118" s="8">
        <v>0.16283364109451101</v>
      </c>
      <c r="M118" t="s">
        <v>42</v>
      </c>
      <c r="N118" t="s">
        <v>18</v>
      </c>
    </row>
    <row r="119" spans="1:14">
      <c r="A119" t="s">
        <v>125</v>
      </c>
      <c r="B119" t="s">
        <v>14</v>
      </c>
      <c r="C119" s="7">
        <v>45522</v>
      </c>
      <c r="D119" t="s">
        <v>15</v>
      </c>
      <c r="E119" t="s">
        <v>20</v>
      </c>
      <c r="F119">
        <v>2965</v>
      </c>
      <c r="G119">
        <v>328</v>
      </c>
      <c r="H119">
        <v>171</v>
      </c>
      <c r="I119">
        <v>57685</v>
      </c>
      <c r="J119">
        <v>67536</v>
      </c>
      <c r="K119">
        <v>264</v>
      </c>
      <c r="L119" s="8">
        <v>6.0050273034584399E-2</v>
      </c>
      <c r="M119" t="s">
        <v>17</v>
      </c>
      <c r="N119" t="s">
        <v>18</v>
      </c>
    </row>
    <row r="120" spans="1:14">
      <c r="A120" t="s">
        <v>129</v>
      </c>
      <c r="B120" t="s">
        <v>14</v>
      </c>
      <c r="C120" s="7">
        <v>45630</v>
      </c>
      <c r="D120" t="s">
        <v>15</v>
      </c>
      <c r="E120" t="s">
        <v>29</v>
      </c>
      <c r="F120">
        <v>2601</v>
      </c>
      <c r="G120">
        <v>336</v>
      </c>
      <c r="H120">
        <v>260</v>
      </c>
      <c r="I120">
        <v>32368</v>
      </c>
      <c r="J120">
        <v>49028</v>
      </c>
      <c r="K120">
        <v>120</v>
      </c>
      <c r="L120" s="8">
        <v>9.8770390509144795E-2</v>
      </c>
      <c r="M120" t="s">
        <v>17</v>
      </c>
      <c r="N120" t="s">
        <v>18</v>
      </c>
    </row>
    <row r="121" spans="1:14">
      <c r="A121" t="s">
        <v>139</v>
      </c>
      <c r="B121" t="s">
        <v>24</v>
      </c>
      <c r="C121" s="7">
        <v>45580</v>
      </c>
      <c r="D121" t="s">
        <v>15</v>
      </c>
      <c r="E121" t="s">
        <v>29</v>
      </c>
      <c r="F121">
        <v>1984</v>
      </c>
      <c r="G121">
        <v>481</v>
      </c>
      <c r="H121">
        <v>356</v>
      </c>
      <c r="I121">
        <v>40681</v>
      </c>
      <c r="J121">
        <v>63111</v>
      </c>
      <c r="K121">
        <v>258</v>
      </c>
      <c r="L121" s="8">
        <v>6.9344411395983394E-2</v>
      </c>
      <c r="M121" t="s">
        <v>42</v>
      </c>
      <c r="N121" t="s">
        <v>18</v>
      </c>
    </row>
    <row r="122" spans="1:14">
      <c r="A122" t="s">
        <v>141</v>
      </c>
      <c r="B122" t="s">
        <v>24</v>
      </c>
      <c r="C122" s="7">
        <v>45577</v>
      </c>
      <c r="D122" t="s">
        <v>15</v>
      </c>
      <c r="E122" t="s">
        <v>37</v>
      </c>
      <c r="F122">
        <v>3169</v>
      </c>
      <c r="G122">
        <v>386</v>
      </c>
      <c r="H122">
        <v>175</v>
      </c>
      <c r="I122">
        <v>45012</v>
      </c>
      <c r="J122">
        <v>38508</v>
      </c>
      <c r="K122">
        <v>218</v>
      </c>
      <c r="L122" s="8">
        <v>8.2866791077934807E-2</v>
      </c>
      <c r="M122" t="s">
        <v>42</v>
      </c>
      <c r="N122" t="s">
        <v>18</v>
      </c>
    </row>
    <row r="123" spans="1:14">
      <c r="A123" t="s">
        <v>142</v>
      </c>
      <c r="B123" t="s">
        <v>24</v>
      </c>
      <c r="C123" s="7">
        <v>45591</v>
      </c>
      <c r="D123" t="s">
        <v>15</v>
      </c>
      <c r="E123" t="s">
        <v>16</v>
      </c>
      <c r="F123">
        <v>3036</v>
      </c>
      <c r="G123">
        <v>293</v>
      </c>
      <c r="H123">
        <v>115</v>
      </c>
      <c r="I123">
        <v>23776</v>
      </c>
      <c r="J123">
        <v>46386</v>
      </c>
      <c r="K123">
        <v>282</v>
      </c>
      <c r="L123" s="8">
        <v>0.144851951547779</v>
      </c>
      <c r="M123" t="s">
        <v>42</v>
      </c>
      <c r="N123" t="s">
        <v>18</v>
      </c>
    </row>
    <row r="124" spans="1:14">
      <c r="A124" t="s">
        <v>143</v>
      </c>
      <c r="B124" t="s">
        <v>14</v>
      </c>
      <c r="C124" s="7">
        <v>45336</v>
      </c>
      <c r="D124" t="s">
        <v>15</v>
      </c>
      <c r="E124" t="s">
        <v>32</v>
      </c>
      <c r="F124">
        <v>1830</v>
      </c>
      <c r="G124">
        <v>112</v>
      </c>
      <c r="H124">
        <v>181</v>
      </c>
      <c r="I124">
        <v>31870</v>
      </c>
      <c r="J124">
        <v>55742</v>
      </c>
      <c r="K124">
        <v>263</v>
      </c>
      <c r="L124" s="8">
        <v>6.6614370881706894E-2</v>
      </c>
      <c r="M124" t="s">
        <v>17</v>
      </c>
      <c r="N124" t="s">
        <v>18</v>
      </c>
    </row>
    <row r="125" spans="1:14">
      <c r="A125" t="s">
        <v>145</v>
      </c>
      <c r="B125" t="s">
        <v>24</v>
      </c>
      <c r="C125" s="7">
        <v>45553</v>
      </c>
      <c r="D125" t="s">
        <v>15</v>
      </c>
      <c r="E125" t="s">
        <v>16</v>
      </c>
      <c r="F125">
        <v>2878</v>
      </c>
      <c r="G125">
        <v>265</v>
      </c>
      <c r="H125">
        <v>91</v>
      </c>
      <c r="I125">
        <v>52090</v>
      </c>
      <c r="J125">
        <v>28924</v>
      </c>
      <c r="K125">
        <v>133</v>
      </c>
      <c r="L125" s="8">
        <v>6.2084853138798198E-2</v>
      </c>
      <c r="M125" t="s">
        <v>42</v>
      </c>
      <c r="N125" t="s">
        <v>18</v>
      </c>
    </row>
    <row r="126" spans="1:14">
      <c r="A126" t="s">
        <v>149</v>
      </c>
      <c r="B126" t="s">
        <v>14</v>
      </c>
      <c r="C126" s="7">
        <v>45617</v>
      </c>
      <c r="D126" t="s">
        <v>15</v>
      </c>
      <c r="E126" t="s">
        <v>32</v>
      </c>
      <c r="F126">
        <v>4581</v>
      </c>
      <c r="G126">
        <v>181</v>
      </c>
      <c r="H126">
        <v>112</v>
      </c>
      <c r="I126">
        <v>35221</v>
      </c>
      <c r="J126">
        <v>28797</v>
      </c>
      <c r="K126">
        <v>164</v>
      </c>
      <c r="L126" s="8">
        <v>0.13838335084182701</v>
      </c>
      <c r="M126" t="s">
        <v>17</v>
      </c>
      <c r="N126" t="s">
        <v>18</v>
      </c>
    </row>
    <row r="127" spans="1:14">
      <c r="A127" t="s">
        <v>152</v>
      </c>
      <c r="B127" t="s">
        <v>14</v>
      </c>
      <c r="C127" s="7">
        <v>45704</v>
      </c>
      <c r="D127" t="s">
        <v>15</v>
      </c>
      <c r="E127" t="s">
        <v>51</v>
      </c>
      <c r="F127">
        <v>1333</v>
      </c>
      <c r="G127">
        <v>286</v>
      </c>
      <c r="H127">
        <v>298</v>
      </c>
      <c r="I127">
        <v>36174</v>
      </c>
      <c r="J127">
        <v>34517</v>
      </c>
      <c r="K127">
        <v>170</v>
      </c>
      <c r="L127" s="8">
        <v>5.2993862995521598E-2</v>
      </c>
      <c r="M127" t="s">
        <v>17</v>
      </c>
      <c r="N127" t="s">
        <v>18</v>
      </c>
    </row>
    <row r="128" spans="1:14">
      <c r="A128" t="s">
        <v>153</v>
      </c>
      <c r="B128" t="s">
        <v>14</v>
      </c>
      <c r="C128" s="7">
        <v>45544</v>
      </c>
      <c r="D128" t="s">
        <v>15</v>
      </c>
      <c r="E128" t="s">
        <v>26</v>
      </c>
      <c r="F128">
        <v>1616</v>
      </c>
      <c r="G128">
        <v>360</v>
      </c>
      <c r="H128">
        <v>180</v>
      </c>
      <c r="I128">
        <v>54342</v>
      </c>
      <c r="J128">
        <v>18796</v>
      </c>
      <c r="K128">
        <v>282</v>
      </c>
      <c r="L128" s="8">
        <v>3.9674653122814797E-2</v>
      </c>
      <c r="M128" t="s">
        <v>17</v>
      </c>
      <c r="N128" t="s">
        <v>18</v>
      </c>
    </row>
    <row r="129" spans="1:14">
      <c r="A129" t="s">
        <v>154</v>
      </c>
      <c r="B129" t="s">
        <v>24</v>
      </c>
      <c r="C129" s="7">
        <v>45489</v>
      </c>
      <c r="D129" t="s">
        <v>15</v>
      </c>
      <c r="E129" t="s">
        <v>41</v>
      </c>
      <c r="F129">
        <v>1803</v>
      </c>
      <c r="G129">
        <v>273</v>
      </c>
      <c r="H129">
        <v>287</v>
      </c>
      <c r="I129">
        <v>46176</v>
      </c>
      <c r="J129">
        <v>25488</v>
      </c>
      <c r="K129">
        <v>141</v>
      </c>
      <c r="L129" s="8">
        <v>5.1173769923769902E-2</v>
      </c>
      <c r="M129" t="s">
        <v>42</v>
      </c>
      <c r="N129" t="s">
        <v>18</v>
      </c>
    </row>
    <row r="130" spans="1:14">
      <c r="A130" t="s">
        <v>165</v>
      </c>
      <c r="B130" t="s">
        <v>24</v>
      </c>
      <c r="C130" s="7">
        <v>45602</v>
      </c>
      <c r="D130" t="s">
        <v>15</v>
      </c>
      <c r="E130" t="s">
        <v>49</v>
      </c>
      <c r="F130">
        <v>2956</v>
      </c>
      <c r="G130">
        <v>381</v>
      </c>
      <c r="H130">
        <v>345</v>
      </c>
      <c r="I130">
        <v>33347</v>
      </c>
      <c r="J130">
        <v>22558</v>
      </c>
      <c r="K130">
        <v>173</v>
      </c>
      <c r="L130" s="8">
        <v>0.110414729960716</v>
      </c>
      <c r="M130" t="s">
        <v>42</v>
      </c>
      <c r="N130" t="s">
        <v>18</v>
      </c>
    </row>
    <row r="131" spans="1:14">
      <c r="A131" t="s">
        <v>168</v>
      </c>
      <c r="B131" t="s">
        <v>14</v>
      </c>
      <c r="C131" s="7">
        <v>45344</v>
      </c>
      <c r="D131" t="s">
        <v>15</v>
      </c>
      <c r="E131" t="s">
        <v>26</v>
      </c>
      <c r="F131">
        <v>1902</v>
      </c>
      <c r="G131">
        <v>394</v>
      </c>
      <c r="H131">
        <v>279</v>
      </c>
      <c r="I131">
        <v>24615</v>
      </c>
      <c r="J131">
        <v>51330</v>
      </c>
      <c r="K131">
        <v>176</v>
      </c>
      <c r="L131" s="8">
        <v>0.104611009547024</v>
      </c>
      <c r="M131" t="s">
        <v>17</v>
      </c>
      <c r="N131" t="s">
        <v>18</v>
      </c>
    </row>
    <row r="132" spans="1:14">
      <c r="A132" t="s">
        <v>172</v>
      </c>
      <c r="B132" t="s">
        <v>24</v>
      </c>
      <c r="C132" s="7">
        <v>45563</v>
      </c>
      <c r="D132" t="s">
        <v>15</v>
      </c>
      <c r="E132" t="s">
        <v>35</v>
      </c>
      <c r="F132">
        <v>4006</v>
      </c>
      <c r="G132">
        <v>420</v>
      </c>
      <c r="H132">
        <v>194</v>
      </c>
      <c r="I132">
        <v>49964</v>
      </c>
      <c r="J132">
        <v>20685</v>
      </c>
      <c r="K132">
        <v>148</v>
      </c>
      <c r="L132" s="8">
        <v>9.2466575934673001E-2</v>
      </c>
      <c r="M132" t="s">
        <v>42</v>
      </c>
      <c r="N132" t="s">
        <v>18</v>
      </c>
    </row>
    <row r="133" spans="1:14">
      <c r="A133" t="s">
        <v>174</v>
      </c>
      <c r="B133" t="s">
        <v>24</v>
      </c>
      <c r="C133" s="7">
        <v>45792</v>
      </c>
      <c r="D133" t="s">
        <v>15</v>
      </c>
      <c r="E133" t="s">
        <v>26</v>
      </c>
      <c r="F133">
        <v>1583</v>
      </c>
      <c r="G133">
        <v>433</v>
      </c>
      <c r="H133">
        <v>249</v>
      </c>
      <c r="I133">
        <v>30256</v>
      </c>
      <c r="J133">
        <v>47066</v>
      </c>
      <c r="K133">
        <v>196</v>
      </c>
      <c r="L133" s="8">
        <v>7.4861184558434699E-2</v>
      </c>
      <c r="M133" t="s">
        <v>42</v>
      </c>
      <c r="N133" t="s">
        <v>18</v>
      </c>
    </row>
    <row r="134" spans="1:14">
      <c r="A134" t="s">
        <v>176</v>
      </c>
      <c r="B134" t="s">
        <v>24</v>
      </c>
      <c r="C134" s="7">
        <v>45615</v>
      </c>
      <c r="D134" t="s">
        <v>15</v>
      </c>
      <c r="E134" t="s">
        <v>41</v>
      </c>
      <c r="F134">
        <v>3728</v>
      </c>
      <c r="G134">
        <v>271</v>
      </c>
      <c r="H134">
        <v>275</v>
      </c>
      <c r="I134">
        <v>22827</v>
      </c>
      <c r="J134">
        <v>37034</v>
      </c>
      <c r="K134">
        <v>199</v>
      </c>
      <c r="L134" s="8">
        <v>0.18723441538528901</v>
      </c>
      <c r="M134" t="s">
        <v>42</v>
      </c>
      <c r="N134" t="s">
        <v>18</v>
      </c>
    </row>
    <row r="135" spans="1:14">
      <c r="A135" t="s">
        <v>179</v>
      </c>
      <c r="B135" t="s">
        <v>24</v>
      </c>
      <c r="C135" s="7">
        <v>45725</v>
      </c>
      <c r="D135" t="s">
        <v>15</v>
      </c>
      <c r="E135" t="s">
        <v>51</v>
      </c>
      <c r="F135">
        <v>2754</v>
      </c>
      <c r="G135">
        <v>215</v>
      </c>
      <c r="H135">
        <v>264</v>
      </c>
      <c r="I135">
        <v>27762</v>
      </c>
      <c r="J135">
        <v>70203</v>
      </c>
      <c r="K135">
        <v>289</v>
      </c>
      <c r="L135" s="8">
        <v>0.116454145954902</v>
      </c>
      <c r="M135" t="s">
        <v>42</v>
      </c>
      <c r="N135" t="s">
        <v>18</v>
      </c>
    </row>
    <row r="136" spans="1:14">
      <c r="A136" t="s">
        <v>184</v>
      </c>
      <c r="B136" t="s">
        <v>14</v>
      </c>
      <c r="C136" s="7">
        <v>45702</v>
      </c>
      <c r="D136" t="s">
        <v>15</v>
      </c>
      <c r="E136" t="s">
        <v>16</v>
      </c>
      <c r="F136">
        <v>2329</v>
      </c>
      <c r="G136">
        <v>373</v>
      </c>
      <c r="H136">
        <v>291</v>
      </c>
      <c r="I136">
        <v>49577</v>
      </c>
      <c r="J136">
        <v>28002</v>
      </c>
      <c r="K136">
        <v>82</v>
      </c>
      <c r="L136" s="8">
        <v>6.0370736430199502E-2</v>
      </c>
      <c r="M136" t="s">
        <v>17</v>
      </c>
      <c r="N136" t="s">
        <v>18</v>
      </c>
    </row>
    <row r="137" spans="1:14">
      <c r="A137" t="s">
        <v>195</v>
      </c>
      <c r="B137" t="s">
        <v>14</v>
      </c>
      <c r="C137" s="7">
        <v>45407</v>
      </c>
      <c r="D137" t="s">
        <v>15</v>
      </c>
      <c r="E137" t="s">
        <v>32</v>
      </c>
      <c r="F137">
        <v>3563</v>
      </c>
      <c r="G137">
        <v>483</v>
      </c>
      <c r="H137">
        <v>227</v>
      </c>
      <c r="I137">
        <v>41085</v>
      </c>
      <c r="J137">
        <v>26393</v>
      </c>
      <c r="K137">
        <v>236</v>
      </c>
      <c r="L137" s="8">
        <v>0.10400389436533999</v>
      </c>
      <c r="M137" t="s">
        <v>17</v>
      </c>
      <c r="N137" t="s">
        <v>18</v>
      </c>
    </row>
    <row r="138" spans="1:14">
      <c r="A138" t="s">
        <v>202</v>
      </c>
      <c r="B138" t="s">
        <v>14</v>
      </c>
      <c r="C138" s="7">
        <v>45610</v>
      </c>
      <c r="D138" t="s">
        <v>15</v>
      </c>
      <c r="E138" t="s">
        <v>32</v>
      </c>
      <c r="F138">
        <v>2422</v>
      </c>
      <c r="G138">
        <v>318</v>
      </c>
      <c r="H138">
        <v>118</v>
      </c>
      <c r="I138">
        <v>25386</v>
      </c>
      <c r="J138">
        <v>20873</v>
      </c>
      <c r="K138">
        <v>100</v>
      </c>
      <c r="L138" s="8">
        <v>0.112581737965808</v>
      </c>
      <c r="M138" t="s">
        <v>17</v>
      </c>
      <c r="N138" t="s">
        <v>18</v>
      </c>
    </row>
    <row r="139" spans="1:14">
      <c r="A139" t="s">
        <v>208</v>
      </c>
      <c r="B139" t="s">
        <v>14</v>
      </c>
      <c r="C139" s="7">
        <v>45385</v>
      </c>
      <c r="D139" t="s">
        <v>15</v>
      </c>
      <c r="E139" t="s">
        <v>41</v>
      </c>
      <c r="F139">
        <v>2762</v>
      </c>
      <c r="G139">
        <v>339</v>
      </c>
      <c r="H139">
        <v>323</v>
      </c>
      <c r="I139">
        <v>33757</v>
      </c>
      <c r="J139">
        <v>68511</v>
      </c>
      <c r="K139">
        <v>121</v>
      </c>
      <c r="L139" s="8">
        <v>0.101430814349616</v>
      </c>
      <c r="M139" t="s">
        <v>17</v>
      </c>
      <c r="N139" t="s">
        <v>18</v>
      </c>
    </row>
    <row r="140" spans="1:14">
      <c r="A140" t="s">
        <v>216</v>
      </c>
      <c r="B140" t="s">
        <v>14</v>
      </c>
      <c r="C140" s="7">
        <v>45475</v>
      </c>
      <c r="D140" t="s">
        <v>15</v>
      </c>
      <c r="E140" t="s">
        <v>41</v>
      </c>
      <c r="F140">
        <v>3469</v>
      </c>
      <c r="G140">
        <v>371</v>
      </c>
      <c r="H140">
        <v>76</v>
      </c>
      <c r="I140">
        <v>46493</v>
      </c>
      <c r="J140">
        <v>26906</v>
      </c>
      <c r="K140">
        <v>150</v>
      </c>
      <c r="L140" s="8">
        <v>8.4227733207149505E-2</v>
      </c>
      <c r="M140" t="s">
        <v>17</v>
      </c>
      <c r="N140" t="s">
        <v>18</v>
      </c>
    </row>
    <row r="141" spans="1:14">
      <c r="A141" t="s">
        <v>222</v>
      </c>
      <c r="B141" t="s">
        <v>14</v>
      </c>
      <c r="C141" s="7">
        <v>45370</v>
      </c>
      <c r="D141" t="s">
        <v>15</v>
      </c>
      <c r="E141" t="s">
        <v>49</v>
      </c>
      <c r="F141">
        <v>2878</v>
      </c>
      <c r="G141">
        <v>278</v>
      </c>
      <c r="H141">
        <v>255</v>
      </c>
      <c r="I141">
        <v>47235</v>
      </c>
      <c r="J141">
        <v>57922</v>
      </c>
      <c r="K141">
        <v>112</v>
      </c>
      <c r="L141" s="8">
        <v>7.2213401079707806E-2</v>
      </c>
      <c r="M141" t="s">
        <v>17</v>
      </c>
      <c r="N141" t="s">
        <v>18</v>
      </c>
    </row>
    <row r="142" spans="1:14">
      <c r="A142" t="s">
        <v>230</v>
      </c>
      <c r="B142" t="s">
        <v>14</v>
      </c>
      <c r="C142" s="7">
        <v>45673</v>
      </c>
      <c r="D142" t="s">
        <v>15</v>
      </c>
      <c r="E142" t="s">
        <v>32</v>
      </c>
      <c r="F142">
        <v>2605</v>
      </c>
      <c r="G142">
        <v>282</v>
      </c>
      <c r="H142">
        <v>148</v>
      </c>
      <c r="I142">
        <v>32201</v>
      </c>
      <c r="J142">
        <v>49583</v>
      </c>
      <c r="K142">
        <v>241</v>
      </c>
      <c r="L142" s="8">
        <v>9.4251731312692197E-2</v>
      </c>
      <c r="M142" t="s">
        <v>17</v>
      </c>
      <c r="N142" t="s">
        <v>18</v>
      </c>
    </row>
    <row r="143" spans="1:14">
      <c r="A143" t="s">
        <v>236</v>
      </c>
      <c r="B143" t="s">
        <v>14</v>
      </c>
      <c r="C143" s="7">
        <v>45669</v>
      </c>
      <c r="D143" t="s">
        <v>15</v>
      </c>
      <c r="E143" t="s">
        <v>49</v>
      </c>
      <c r="F143">
        <v>1771</v>
      </c>
      <c r="G143">
        <v>487</v>
      </c>
      <c r="H143">
        <v>272</v>
      </c>
      <c r="I143">
        <v>48810</v>
      </c>
      <c r="J143">
        <v>48084</v>
      </c>
      <c r="K143">
        <v>272</v>
      </c>
      <c r="L143" s="8">
        <v>5.1833640647408301E-2</v>
      </c>
      <c r="M143" t="s">
        <v>17</v>
      </c>
      <c r="N143" t="s">
        <v>18</v>
      </c>
    </row>
    <row r="144" spans="1:14">
      <c r="A144" t="s">
        <v>240</v>
      </c>
      <c r="B144" t="s">
        <v>24</v>
      </c>
      <c r="C144" s="7">
        <v>45369</v>
      </c>
      <c r="D144" t="s">
        <v>15</v>
      </c>
      <c r="E144" t="s">
        <v>26</v>
      </c>
      <c r="F144">
        <v>2033</v>
      </c>
      <c r="G144">
        <v>420</v>
      </c>
      <c r="H144">
        <v>94</v>
      </c>
      <c r="I144">
        <v>56290</v>
      </c>
      <c r="J144">
        <v>57391</v>
      </c>
      <c r="K144">
        <v>196</v>
      </c>
      <c r="L144" s="8">
        <v>4.5247823769763697E-2</v>
      </c>
      <c r="M144" t="s">
        <v>42</v>
      </c>
      <c r="N144" t="s">
        <v>18</v>
      </c>
    </row>
    <row r="145" spans="1:14">
      <c r="A145" t="s">
        <v>244</v>
      </c>
      <c r="B145" t="s">
        <v>24</v>
      </c>
      <c r="C145" s="7">
        <v>45656</v>
      </c>
      <c r="D145" t="s">
        <v>15</v>
      </c>
      <c r="E145" t="s">
        <v>37</v>
      </c>
      <c r="F145">
        <v>4214</v>
      </c>
      <c r="G145">
        <v>286</v>
      </c>
      <c r="H145">
        <v>127</v>
      </c>
      <c r="I145">
        <v>47293</v>
      </c>
      <c r="J145">
        <v>27184</v>
      </c>
      <c r="K145">
        <v>232</v>
      </c>
      <c r="L145" s="8">
        <v>9.7836889180217004E-2</v>
      </c>
      <c r="M145" t="s">
        <v>42</v>
      </c>
      <c r="N145" t="s">
        <v>18</v>
      </c>
    </row>
    <row r="146" spans="1:14">
      <c r="A146" t="s">
        <v>257</v>
      </c>
      <c r="B146" t="s">
        <v>14</v>
      </c>
      <c r="C146" s="7">
        <v>45808</v>
      </c>
      <c r="D146" t="s">
        <v>15</v>
      </c>
      <c r="E146" t="s">
        <v>35</v>
      </c>
      <c r="F146">
        <v>2169</v>
      </c>
      <c r="G146">
        <v>240</v>
      </c>
      <c r="H146">
        <v>57</v>
      </c>
      <c r="I146">
        <v>26109</v>
      </c>
      <c r="J146">
        <v>46667</v>
      </c>
      <c r="K146">
        <v>133</v>
      </c>
      <c r="L146" s="8">
        <v>9.4450189589796604E-2</v>
      </c>
      <c r="M146" t="s">
        <v>17</v>
      </c>
      <c r="N146" t="s">
        <v>18</v>
      </c>
    </row>
    <row r="147" spans="1:14">
      <c r="A147" t="s">
        <v>262</v>
      </c>
      <c r="B147" t="s">
        <v>24</v>
      </c>
      <c r="C147" s="7">
        <v>45829</v>
      </c>
      <c r="D147" t="s">
        <v>15</v>
      </c>
      <c r="E147" t="s">
        <v>20</v>
      </c>
      <c r="F147">
        <v>3611</v>
      </c>
      <c r="G147">
        <v>127</v>
      </c>
      <c r="H147">
        <v>139</v>
      </c>
      <c r="I147">
        <v>44768</v>
      </c>
      <c r="J147">
        <v>29435</v>
      </c>
      <c r="K147">
        <v>178</v>
      </c>
      <c r="L147" s="8">
        <v>8.6602037169406704E-2</v>
      </c>
      <c r="M147" t="s">
        <v>42</v>
      </c>
      <c r="N147" t="s">
        <v>18</v>
      </c>
    </row>
    <row r="148" spans="1:14">
      <c r="A148" t="s">
        <v>264</v>
      </c>
      <c r="B148" t="s">
        <v>24</v>
      </c>
      <c r="C148" s="7">
        <v>45636</v>
      </c>
      <c r="D148" t="s">
        <v>15</v>
      </c>
      <c r="E148" t="s">
        <v>49</v>
      </c>
      <c r="F148">
        <v>4673</v>
      </c>
      <c r="G148">
        <v>270</v>
      </c>
      <c r="H148">
        <v>93</v>
      </c>
      <c r="I148">
        <v>45260</v>
      </c>
      <c r="J148">
        <v>57513</v>
      </c>
      <c r="K148">
        <v>103</v>
      </c>
      <c r="L148" s="8">
        <v>0.11126822801590799</v>
      </c>
      <c r="M148" t="s">
        <v>42</v>
      </c>
      <c r="N148" t="s">
        <v>18</v>
      </c>
    </row>
    <row r="149" spans="1:14">
      <c r="A149" t="s">
        <v>271</v>
      </c>
      <c r="B149" t="s">
        <v>14</v>
      </c>
      <c r="C149" s="7">
        <v>45379</v>
      </c>
      <c r="D149" t="s">
        <v>15</v>
      </c>
      <c r="E149" t="s">
        <v>35</v>
      </c>
      <c r="F149">
        <v>1673</v>
      </c>
      <c r="G149">
        <v>280</v>
      </c>
      <c r="H149">
        <v>67</v>
      </c>
      <c r="I149">
        <v>29847</v>
      </c>
      <c r="J149">
        <v>48016</v>
      </c>
      <c r="K149">
        <v>213</v>
      </c>
      <c r="L149" s="8">
        <v>6.76784936509532E-2</v>
      </c>
      <c r="M149" t="s">
        <v>17</v>
      </c>
      <c r="N149" t="s">
        <v>18</v>
      </c>
    </row>
    <row r="150" spans="1:14">
      <c r="A150" t="s">
        <v>273</v>
      </c>
      <c r="B150" t="s">
        <v>24</v>
      </c>
      <c r="C150" s="7">
        <v>45585</v>
      </c>
      <c r="D150" t="s">
        <v>15</v>
      </c>
      <c r="E150" t="s">
        <v>49</v>
      </c>
      <c r="F150">
        <v>2752</v>
      </c>
      <c r="G150">
        <v>309</v>
      </c>
      <c r="H150">
        <v>91</v>
      </c>
      <c r="I150">
        <v>39038</v>
      </c>
      <c r="J150">
        <v>28095</v>
      </c>
      <c r="K150">
        <v>277</v>
      </c>
      <c r="L150" s="8">
        <v>8.0741841282852597E-2</v>
      </c>
      <c r="M150" t="s">
        <v>42</v>
      </c>
      <c r="N150" t="s">
        <v>18</v>
      </c>
    </row>
    <row r="151" spans="1:14">
      <c r="A151" t="s">
        <v>274</v>
      </c>
      <c r="B151" t="s">
        <v>24</v>
      </c>
      <c r="C151" s="7">
        <v>45324</v>
      </c>
      <c r="D151" t="s">
        <v>15</v>
      </c>
      <c r="E151" t="s">
        <v>49</v>
      </c>
      <c r="F151">
        <v>3818</v>
      </c>
      <c r="G151">
        <v>115</v>
      </c>
      <c r="H151">
        <v>286</v>
      </c>
      <c r="I151">
        <v>25127</v>
      </c>
      <c r="J151">
        <v>22277</v>
      </c>
      <c r="K151">
        <v>263</v>
      </c>
      <c r="L151" s="8">
        <v>0.16790703227603801</v>
      </c>
      <c r="M151" t="s">
        <v>42</v>
      </c>
      <c r="N151" t="s">
        <v>18</v>
      </c>
    </row>
    <row r="152" spans="1:14">
      <c r="A152" t="s">
        <v>278</v>
      </c>
      <c r="B152" t="s">
        <v>14</v>
      </c>
      <c r="C152" s="7">
        <v>45823</v>
      </c>
      <c r="D152" t="s">
        <v>15</v>
      </c>
      <c r="E152" t="s">
        <v>20</v>
      </c>
      <c r="F152">
        <v>2478</v>
      </c>
      <c r="G152">
        <v>427</v>
      </c>
      <c r="H152">
        <v>242</v>
      </c>
      <c r="I152">
        <v>59272</v>
      </c>
      <c r="J152">
        <v>37833</v>
      </c>
      <c r="K152">
        <v>214</v>
      </c>
      <c r="L152" s="8">
        <v>5.3094209744904801E-2</v>
      </c>
      <c r="M152" t="s">
        <v>17</v>
      </c>
      <c r="N152" t="s">
        <v>18</v>
      </c>
    </row>
    <row r="153" spans="1:14">
      <c r="A153" t="s">
        <v>281</v>
      </c>
      <c r="B153" t="s">
        <v>24</v>
      </c>
      <c r="C153" s="7">
        <v>45550</v>
      </c>
      <c r="D153" t="s">
        <v>15</v>
      </c>
      <c r="E153" t="s">
        <v>37</v>
      </c>
      <c r="F153">
        <v>2145</v>
      </c>
      <c r="G153">
        <v>340</v>
      </c>
      <c r="H153">
        <v>85</v>
      </c>
      <c r="I153">
        <v>53323</v>
      </c>
      <c r="J153">
        <v>49938</v>
      </c>
      <c r="K153">
        <v>104</v>
      </c>
      <c r="L153" s="8">
        <v>4.8196838137389099E-2</v>
      </c>
      <c r="M153" t="s">
        <v>42</v>
      </c>
      <c r="N153" t="s">
        <v>18</v>
      </c>
    </row>
    <row r="154" spans="1:14">
      <c r="A154" t="s">
        <v>290</v>
      </c>
      <c r="B154" t="s">
        <v>24</v>
      </c>
      <c r="C154" s="7">
        <v>45792</v>
      </c>
      <c r="D154" t="s">
        <v>15</v>
      </c>
      <c r="E154" t="s">
        <v>51</v>
      </c>
      <c r="F154">
        <v>4782</v>
      </c>
      <c r="G154">
        <v>210</v>
      </c>
      <c r="H154">
        <v>311</v>
      </c>
      <c r="I154">
        <v>29793</v>
      </c>
      <c r="J154">
        <v>37543</v>
      </c>
      <c r="K154">
        <v>145</v>
      </c>
      <c r="L154" s="8">
        <v>0.17799483100057101</v>
      </c>
      <c r="M154" t="s">
        <v>42</v>
      </c>
      <c r="N154" t="s">
        <v>18</v>
      </c>
    </row>
    <row r="155" spans="1:14">
      <c r="A155" t="s">
        <v>294</v>
      </c>
      <c r="B155" t="s">
        <v>24</v>
      </c>
      <c r="C155" s="7">
        <v>45691</v>
      </c>
      <c r="D155" t="s">
        <v>15</v>
      </c>
      <c r="E155" t="s">
        <v>35</v>
      </c>
      <c r="F155">
        <v>4995</v>
      </c>
      <c r="G155">
        <v>231</v>
      </c>
      <c r="H155">
        <v>94</v>
      </c>
      <c r="I155">
        <v>34431</v>
      </c>
      <c r="J155">
        <v>32560</v>
      </c>
      <c r="K155">
        <v>262</v>
      </c>
      <c r="L155" s="8">
        <v>0.154511922395516</v>
      </c>
      <c r="M155" t="s">
        <v>42</v>
      </c>
      <c r="N155" t="s">
        <v>18</v>
      </c>
    </row>
    <row r="156" spans="1:14">
      <c r="A156" t="s">
        <v>313</v>
      </c>
      <c r="B156" t="s">
        <v>24</v>
      </c>
      <c r="C156" s="7">
        <v>45334</v>
      </c>
      <c r="D156" t="s">
        <v>15</v>
      </c>
      <c r="E156" t="s">
        <v>20</v>
      </c>
      <c r="F156">
        <v>2691</v>
      </c>
      <c r="G156">
        <v>486</v>
      </c>
      <c r="H156">
        <v>206</v>
      </c>
      <c r="I156">
        <v>51133</v>
      </c>
      <c r="J156">
        <v>44583</v>
      </c>
      <c r="K156">
        <v>276</v>
      </c>
      <c r="L156" s="8">
        <v>6.6160796354604604E-2</v>
      </c>
      <c r="M156" t="s">
        <v>42</v>
      </c>
      <c r="N156" t="s">
        <v>18</v>
      </c>
    </row>
    <row r="157" spans="1:14">
      <c r="A157" t="s">
        <v>316</v>
      </c>
      <c r="B157" t="s">
        <v>24</v>
      </c>
      <c r="C157" s="7">
        <v>45720</v>
      </c>
      <c r="D157" t="s">
        <v>15</v>
      </c>
      <c r="E157" t="s">
        <v>16</v>
      </c>
      <c r="F157">
        <v>2177</v>
      </c>
      <c r="G157">
        <v>258</v>
      </c>
      <c r="H157">
        <v>292</v>
      </c>
      <c r="I157">
        <v>47276</v>
      </c>
      <c r="J157">
        <v>51324</v>
      </c>
      <c r="K157">
        <v>143</v>
      </c>
      <c r="L157" s="8">
        <v>5.7682545054573202E-2</v>
      </c>
      <c r="M157" t="s">
        <v>42</v>
      </c>
      <c r="N157" t="s">
        <v>18</v>
      </c>
    </row>
    <row r="158" spans="1:14">
      <c r="A158" t="s">
        <v>318</v>
      </c>
      <c r="B158" t="s">
        <v>14</v>
      </c>
      <c r="C158" s="7">
        <v>45628</v>
      </c>
      <c r="D158" t="s">
        <v>15</v>
      </c>
      <c r="E158" t="s">
        <v>41</v>
      </c>
      <c r="F158">
        <v>3194</v>
      </c>
      <c r="G158">
        <v>292</v>
      </c>
      <c r="H158">
        <v>245</v>
      </c>
      <c r="I158">
        <v>56371</v>
      </c>
      <c r="J158">
        <v>65597</v>
      </c>
      <c r="K158">
        <v>163</v>
      </c>
      <c r="L158" s="8">
        <v>6.6186514342481101E-2</v>
      </c>
      <c r="M158" t="s">
        <v>17</v>
      </c>
      <c r="N158" t="s">
        <v>18</v>
      </c>
    </row>
    <row r="159" spans="1:14">
      <c r="A159" t="s">
        <v>321</v>
      </c>
      <c r="B159" t="s">
        <v>14</v>
      </c>
      <c r="C159" s="7">
        <v>45298</v>
      </c>
      <c r="D159" t="s">
        <v>15</v>
      </c>
      <c r="E159" t="s">
        <v>41</v>
      </c>
      <c r="F159">
        <v>4931</v>
      </c>
      <c r="G159">
        <v>469</v>
      </c>
      <c r="H159">
        <v>193</v>
      </c>
      <c r="I159">
        <v>56701</v>
      </c>
      <c r="J159">
        <v>69437</v>
      </c>
      <c r="K159">
        <v>291</v>
      </c>
      <c r="L159" s="8">
        <v>9.8640235621946695E-2</v>
      </c>
      <c r="M159" t="s">
        <v>17</v>
      </c>
      <c r="N159" t="s">
        <v>18</v>
      </c>
    </row>
    <row r="160" spans="1:14">
      <c r="A160" t="s">
        <v>331</v>
      </c>
      <c r="B160" t="s">
        <v>14</v>
      </c>
      <c r="C160" s="7">
        <v>45472</v>
      </c>
      <c r="D160" t="s">
        <v>15</v>
      </c>
      <c r="E160" t="s">
        <v>51</v>
      </c>
      <c r="F160">
        <v>2088</v>
      </c>
      <c r="G160">
        <v>490</v>
      </c>
      <c r="H160">
        <v>124</v>
      </c>
      <c r="I160">
        <v>46544</v>
      </c>
      <c r="J160">
        <v>69346</v>
      </c>
      <c r="K160">
        <v>178</v>
      </c>
      <c r="L160" s="8">
        <v>5.8052595393606E-2</v>
      </c>
      <c r="M160" t="s">
        <v>17</v>
      </c>
      <c r="N160" t="s">
        <v>18</v>
      </c>
    </row>
    <row r="161" spans="1:14">
      <c r="A161" t="s">
        <v>338</v>
      </c>
      <c r="B161" t="s">
        <v>24</v>
      </c>
      <c r="C161" s="7">
        <v>45838</v>
      </c>
      <c r="D161" t="s">
        <v>15</v>
      </c>
      <c r="E161" t="s">
        <v>35</v>
      </c>
      <c r="F161">
        <v>2275</v>
      </c>
      <c r="G161">
        <v>285</v>
      </c>
      <c r="H161">
        <v>125</v>
      </c>
      <c r="I161">
        <v>43970</v>
      </c>
      <c r="J161">
        <v>74761</v>
      </c>
      <c r="K161">
        <v>83</v>
      </c>
      <c r="L161" s="8">
        <v>6.1064362065044397E-2</v>
      </c>
      <c r="M161" t="s">
        <v>42</v>
      </c>
      <c r="N161" t="s">
        <v>18</v>
      </c>
    </row>
    <row r="162" spans="1:14">
      <c r="A162" t="s">
        <v>340</v>
      </c>
      <c r="B162" t="s">
        <v>14</v>
      </c>
      <c r="C162" s="7">
        <v>45329</v>
      </c>
      <c r="D162" t="s">
        <v>15</v>
      </c>
      <c r="E162" t="s">
        <v>32</v>
      </c>
      <c r="F162">
        <v>1883</v>
      </c>
      <c r="G162">
        <v>432</v>
      </c>
      <c r="H162">
        <v>397</v>
      </c>
      <c r="I162">
        <v>28759</v>
      </c>
      <c r="J162">
        <v>18691</v>
      </c>
      <c r="K162">
        <v>270</v>
      </c>
      <c r="L162" s="8">
        <v>9.43009144963316E-2</v>
      </c>
      <c r="M162" t="s">
        <v>17</v>
      </c>
      <c r="N162" t="s">
        <v>18</v>
      </c>
    </row>
    <row r="163" spans="1:14">
      <c r="A163" t="s">
        <v>54</v>
      </c>
      <c r="B163" t="s">
        <v>14</v>
      </c>
      <c r="C163" s="7">
        <v>45325</v>
      </c>
      <c r="D163" t="s">
        <v>25</v>
      </c>
      <c r="E163" t="s">
        <v>32</v>
      </c>
      <c r="F163">
        <v>4281</v>
      </c>
      <c r="G163">
        <v>101</v>
      </c>
      <c r="H163">
        <v>163</v>
      </c>
      <c r="I163">
        <v>32278</v>
      </c>
      <c r="J163">
        <v>53382</v>
      </c>
      <c r="K163">
        <v>235</v>
      </c>
      <c r="L163" s="8">
        <v>0.140807980667947</v>
      </c>
      <c r="M163" t="s">
        <v>42</v>
      </c>
      <c r="N163" t="s">
        <v>55</v>
      </c>
    </row>
    <row r="164" spans="1:14">
      <c r="A164" t="s">
        <v>61</v>
      </c>
      <c r="B164" t="s">
        <v>14</v>
      </c>
      <c r="C164" s="7">
        <v>45603</v>
      </c>
      <c r="D164" t="s">
        <v>25</v>
      </c>
      <c r="E164" t="s">
        <v>29</v>
      </c>
      <c r="F164">
        <v>1678</v>
      </c>
      <c r="G164">
        <v>423</v>
      </c>
      <c r="H164">
        <v>323</v>
      </c>
      <c r="I164">
        <v>55668</v>
      </c>
      <c r="J164">
        <v>37945</v>
      </c>
      <c r="K164">
        <v>230</v>
      </c>
      <c r="L164" s="8">
        <v>4.3543867212761399E-2</v>
      </c>
      <c r="M164" t="s">
        <v>42</v>
      </c>
      <c r="N164" t="s">
        <v>55</v>
      </c>
    </row>
    <row r="165" spans="1:14">
      <c r="A165" t="s">
        <v>78</v>
      </c>
      <c r="B165" t="s">
        <v>14</v>
      </c>
      <c r="C165" s="7">
        <v>45545</v>
      </c>
      <c r="D165" t="s">
        <v>25</v>
      </c>
      <c r="E165" t="s">
        <v>26</v>
      </c>
      <c r="F165">
        <v>1230</v>
      </c>
      <c r="G165">
        <v>309</v>
      </c>
      <c r="H165">
        <v>207</v>
      </c>
      <c r="I165">
        <v>44629</v>
      </c>
      <c r="J165">
        <v>40699</v>
      </c>
      <c r="K165">
        <v>195</v>
      </c>
      <c r="L165" s="8">
        <v>3.9122543637545103E-2</v>
      </c>
      <c r="M165" t="s">
        <v>42</v>
      </c>
      <c r="N165" t="s">
        <v>55</v>
      </c>
    </row>
    <row r="166" spans="1:14">
      <c r="A166" t="s">
        <v>82</v>
      </c>
      <c r="B166" t="s">
        <v>14</v>
      </c>
      <c r="C166" s="7">
        <v>45683</v>
      </c>
      <c r="D166" t="s">
        <v>25</v>
      </c>
      <c r="E166" t="s">
        <v>35</v>
      </c>
      <c r="F166">
        <v>3451</v>
      </c>
      <c r="G166">
        <v>363</v>
      </c>
      <c r="H166">
        <v>393</v>
      </c>
      <c r="I166">
        <v>44853</v>
      </c>
      <c r="J166">
        <v>69032</v>
      </c>
      <c r="K166">
        <v>211</v>
      </c>
      <c r="L166" s="8">
        <v>9.3795286825853405E-2</v>
      </c>
      <c r="M166" t="s">
        <v>42</v>
      </c>
      <c r="N166" t="s">
        <v>55</v>
      </c>
    </row>
    <row r="167" spans="1:14">
      <c r="A167" t="s">
        <v>88</v>
      </c>
      <c r="B167" t="s">
        <v>14</v>
      </c>
      <c r="C167" s="7">
        <v>45693</v>
      </c>
      <c r="D167" t="s">
        <v>25</v>
      </c>
      <c r="E167" t="s">
        <v>32</v>
      </c>
      <c r="F167">
        <v>3074</v>
      </c>
      <c r="G167">
        <v>371</v>
      </c>
      <c r="H167">
        <v>348</v>
      </c>
      <c r="I167">
        <v>24104</v>
      </c>
      <c r="J167">
        <v>57803</v>
      </c>
      <c r="K167">
        <v>213</v>
      </c>
      <c r="L167" s="8">
        <v>0.15735977431131801</v>
      </c>
      <c r="M167" t="s">
        <v>42</v>
      </c>
      <c r="N167" t="s">
        <v>55</v>
      </c>
    </row>
    <row r="168" spans="1:14">
      <c r="A168" t="s">
        <v>96</v>
      </c>
      <c r="B168" t="s">
        <v>14</v>
      </c>
      <c r="C168" s="7">
        <v>45707</v>
      </c>
      <c r="D168" t="s">
        <v>25</v>
      </c>
      <c r="E168" t="s">
        <v>49</v>
      </c>
      <c r="F168">
        <v>2422</v>
      </c>
      <c r="G168">
        <v>455</v>
      </c>
      <c r="H168">
        <v>376</v>
      </c>
      <c r="I168">
        <v>23428</v>
      </c>
      <c r="J168">
        <v>46775</v>
      </c>
      <c r="K168">
        <v>259</v>
      </c>
      <c r="L168" s="8">
        <v>0.138850947584087</v>
      </c>
      <c r="M168" t="s">
        <v>42</v>
      </c>
      <c r="N168" t="s">
        <v>55</v>
      </c>
    </row>
    <row r="169" spans="1:14">
      <c r="A169" t="s">
        <v>135</v>
      </c>
      <c r="B169" t="s">
        <v>14</v>
      </c>
      <c r="C169" s="7">
        <v>45373</v>
      </c>
      <c r="D169" t="s">
        <v>25</v>
      </c>
      <c r="E169" t="s">
        <v>16</v>
      </c>
      <c r="F169">
        <v>2319</v>
      </c>
      <c r="G169">
        <v>484</v>
      </c>
      <c r="H169">
        <v>193</v>
      </c>
      <c r="I169">
        <v>21202</v>
      </c>
      <c r="J169">
        <v>18091</v>
      </c>
      <c r="K169">
        <v>241</v>
      </c>
      <c r="L169" s="8">
        <v>0.14130742382794101</v>
      </c>
      <c r="M169" t="s">
        <v>42</v>
      </c>
      <c r="N169" t="s">
        <v>55</v>
      </c>
    </row>
    <row r="170" spans="1:14">
      <c r="A170" t="s">
        <v>156</v>
      </c>
      <c r="B170" t="s">
        <v>14</v>
      </c>
      <c r="C170" s="7">
        <v>45781</v>
      </c>
      <c r="D170" t="s">
        <v>25</v>
      </c>
      <c r="E170" t="s">
        <v>26</v>
      </c>
      <c r="F170">
        <v>1311</v>
      </c>
      <c r="G170">
        <v>181</v>
      </c>
      <c r="H170">
        <v>361</v>
      </c>
      <c r="I170">
        <v>37148</v>
      </c>
      <c r="J170">
        <v>44875</v>
      </c>
      <c r="K170">
        <v>245</v>
      </c>
      <c r="L170" s="8">
        <v>4.9881554861634501E-2</v>
      </c>
      <c r="M170" t="s">
        <v>42</v>
      </c>
      <c r="N170" t="s">
        <v>55</v>
      </c>
    </row>
    <row r="171" spans="1:14">
      <c r="A171" t="s">
        <v>157</v>
      </c>
      <c r="B171" t="s">
        <v>14</v>
      </c>
      <c r="C171" s="7">
        <v>45340</v>
      </c>
      <c r="D171" t="s">
        <v>25</v>
      </c>
      <c r="E171" t="s">
        <v>49</v>
      </c>
      <c r="F171">
        <v>1516</v>
      </c>
      <c r="G171">
        <v>215</v>
      </c>
      <c r="H171">
        <v>332</v>
      </c>
      <c r="I171">
        <v>58981</v>
      </c>
      <c r="J171">
        <v>36118</v>
      </c>
      <c r="K171">
        <v>211</v>
      </c>
      <c r="L171" s="8">
        <v>3.4977365592309399E-2</v>
      </c>
      <c r="M171" t="s">
        <v>42</v>
      </c>
      <c r="N171" t="s">
        <v>55</v>
      </c>
    </row>
    <row r="172" spans="1:14">
      <c r="A172" t="s">
        <v>161</v>
      </c>
      <c r="B172" t="s">
        <v>14</v>
      </c>
      <c r="C172" s="7">
        <v>45777</v>
      </c>
      <c r="D172" t="s">
        <v>25</v>
      </c>
      <c r="E172" t="s">
        <v>26</v>
      </c>
      <c r="F172">
        <v>3916</v>
      </c>
      <c r="G172">
        <v>459</v>
      </c>
      <c r="H172">
        <v>229</v>
      </c>
      <c r="I172">
        <v>48989</v>
      </c>
      <c r="J172">
        <v>39768</v>
      </c>
      <c r="K172">
        <v>200</v>
      </c>
      <c r="L172" s="8">
        <v>9.3980281287635997E-2</v>
      </c>
      <c r="M172" t="s">
        <v>42</v>
      </c>
      <c r="N172" t="s">
        <v>55</v>
      </c>
    </row>
    <row r="173" spans="1:14">
      <c r="A173" t="s">
        <v>182</v>
      </c>
      <c r="B173" t="s">
        <v>14</v>
      </c>
      <c r="C173" s="7">
        <v>45647</v>
      </c>
      <c r="D173" t="s">
        <v>25</v>
      </c>
      <c r="E173" t="s">
        <v>26</v>
      </c>
      <c r="F173">
        <v>4563</v>
      </c>
      <c r="G173">
        <v>398</v>
      </c>
      <c r="H173">
        <v>163</v>
      </c>
      <c r="I173">
        <v>43679</v>
      </c>
      <c r="J173">
        <v>48760</v>
      </c>
      <c r="K173">
        <v>92</v>
      </c>
      <c r="L173" s="8">
        <v>0.11731037798484401</v>
      </c>
      <c r="M173" t="s">
        <v>42</v>
      </c>
      <c r="N173" t="s">
        <v>55</v>
      </c>
    </row>
    <row r="174" spans="1:14">
      <c r="A174" t="s">
        <v>191</v>
      </c>
      <c r="B174" t="s">
        <v>14</v>
      </c>
      <c r="C174" s="7">
        <v>45516</v>
      </c>
      <c r="D174" t="s">
        <v>25</v>
      </c>
      <c r="E174" t="s">
        <v>16</v>
      </c>
      <c r="F174">
        <v>2962</v>
      </c>
      <c r="G174">
        <v>400</v>
      </c>
      <c r="H174">
        <v>280</v>
      </c>
      <c r="I174">
        <v>52508</v>
      </c>
      <c r="J174">
        <v>58329</v>
      </c>
      <c r="K174">
        <v>219</v>
      </c>
      <c r="L174" s="8">
        <v>6.9360859297630806E-2</v>
      </c>
      <c r="M174" t="s">
        <v>42</v>
      </c>
      <c r="N174" t="s">
        <v>55</v>
      </c>
    </row>
    <row r="175" spans="1:14">
      <c r="A175" t="s">
        <v>199</v>
      </c>
      <c r="B175" t="s">
        <v>14</v>
      </c>
      <c r="C175" s="7">
        <v>45394</v>
      </c>
      <c r="D175" t="s">
        <v>25</v>
      </c>
      <c r="E175" t="s">
        <v>37</v>
      </c>
      <c r="F175">
        <v>1558</v>
      </c>
      <c r="G175">
        <v>352</v>
      </c>
      <c r="H175">
        <v>202</v>
      </c>
      <c r="I175">
        <v>25405</v>
      </c>
      <c r="J175">
        <v>69941</v>
      </c>
      <c r="K175">
        <v>219</v>
      </c>
      <c r="L175" s="8">
        <v>8.3133241487896095E-2</v>
      </c>
      <c r="M175" t="s">
        <v>42</v>
      </c>
      <c r="N175" t="s">
        <v>55</v>
      </c>
    </row>
    <row r="176" spans="1:14">
      <c r="A176" t="s">
        <v>204</v>
      </c>
      <c r="B176" t="s">
        <v>14</v>
      </c>
      <c r="C176" s="7">
        <v>45835</v>
      </c>
      <c r="D176" t="s">
        <v>25</v>
      </c>
      <c r="E176" t="s">
        <v>35</v>
      </c>
      <c r="F176">
        <v>1342</v>
      </c>
      <c r="G176">
        <v>332</v>
      </c>
      <c r="H176">
        <v>163</v>
      </c>
      <c r="I176">
        <v>51712</v>
      </c>
      <c r="J176">
        <v>57922</v>
      </c>
      <c r="K176">
        <v>168</v>
      </c>
      <c r="L176" s="8">
        <v>3.5523669554455399E-2</v>
      </c>
      <c r="M176" t="s">
        <v>42</v>
      </c>
      <c r="N176" t="s">
        <v>55</v>
      </c>
    </row>
    <row r="177" spans="1:14">
      <c r="A177" t="s">
        <v>205</v>
      </c>
      <c r="B177" t="s">
        <v>14</v>
      </c>
      <c r="C177" s="7">
        <v>45420</v>
      </c>
      <c r="D177" t="s">
        <v>25</v>
      </c>
      <c r="E177" t="s">
        <v>32</v>
      </c>
      <c r="F177">
        <v>2414</v>
      </c>
      <c r="G177">
        <v>220</v>
      </c>
      <c r="H177">
        <v>280</v>
      </c>
      <c r="I177">
        <v>27355</v>
      </c>
      <c r="J177">
        <v>50562</v>
      </c>
      <c r="K177">
        <v>258</v>
      </c>
      <c r="L177" s="8">
        <v>0.106525315298848</v>
      </c>
      <c r="M177" t="s">
        <v>42</v>
      </c>
      <c r="N177" t="s">
        <v>55</v>
      </c>
    </row>
    <row r="178" spans="1:14">
      <c r="A178" t="s">
        <v>211</v>
      </c>
      <c r="B178" t="s">
        <v>14</v>
      </c>
      <c r="C178" s="7">
        <v>45536</v>
      </c>
      <c r="D178" t="s">
        <v>25</v>
      </c>
      <c r="E178" t="s">
        <v>29</v>
      </c>
      <c r="F178">
        <v>2335</v>
      </c>
      <c r="G178">
        <v>150</v>
      </c>
      <c r="H178">
        <v>75</v>
      </c>
      <c r="I178">
        <v>26114</v>
      </c>
      <c r="J178">
        <v>57549</v>
      </c>
      <c r="K178">
        <v>135</v>
      </c>
      <c r="L178" s="8">
        <v>9.8031707130274995E-2</v>
      </c>
      <c r="M178" t="s">
        <v>42</v>
      </c>
      <c r="N178" t="s">
        <v>55</v>
      </c>
    </row>
    <row r="179" spans="1:14">
      <c r="A179" t="s">
        <v>218</v>
      </c>
      <c r="B179" t="s">
        <v>14</v>
      </c>
      <c r="C179" s="7">
        <v>45640</v>
      </c>
      <c r="D179" t="s">
        <v>25</v>
      </c>
      <c r="E179" t="s">
        <v>49</v>
      </c>
      <c r="F179">
        <v>3812</v>
      </c>
      <c r="G179">
        <v>321</v>
      </c>
      <c r="H179">
        <v>289</v>
      </c>
      <c r="I179">
        <v>59838</v>
      </c>
      <c r="J179">
        <v>36337</v>
      </c>
      <c r="K179">
        <v>161</v>
      </c>
      <c r="L179" s="8">
        <v>7.3899528727564404E-2</v>
      </c>
      <c r="M179" t="s">
        <v>42</v>
      </c>
      <c r="N179" t="s">
        <v>55</v>
      </c>
    </row>
    <row r="180" spans="1:14">
      <c r="A180" t="s">
        <v>253</v>
      </c>
      <c r="B180" t="s">
        <v>14</v>
      </c>
      <c r="C180" s="7">
        <v>45832</v>
      </c>
      <c r="D180" t="s">
        <v>25</v>
      </c>
      <c r="E180" t="s">
        <v>37</v>
      </c>
      <c r="F180">
        <v>4902</v>
      </c>
      <c r="G180">
        <v>422</v>
      </c>
      <c r="H180">
        <v>376</v>
      </c>
      <c r="I180">
        <v>31674</v>
      </c>
      <c r="J180">
        <v>53225</v>
      </c>
      <c r="K180">
        <v>147</v>
      </c>
      <c r="L180" s="8">
        <v>0.17995832544042401</v>
      </c>
      <c r="M180" t="s">
        <v>42</v>
      </c>
      <c r="N180" t="s">
        <v>55</v>
      </c>
    </row>
    <row r="181" spans="1:14">
      <c r="A181" t="s">
        <v>306</v>
      </c>
      <c r="B181" t="s">
        <v>14</v>
      </c>
      <c r="C181" s="7">
        <v>45442</v>
      </c>
      <c r="D181" t="s">
        <v>25</v>
      </c>
      <c r="E181" t="s">
        <v>37</v>
      </c>
      <c r="F181">
        <v>2448</v>
      </c>
      <c r="G181">
        <v>464</v>
      </c>
      <c r="H181">
        <v>98</v>
      </c>
      <c r="I181">
        <v>25737</v>
      </c>
      <c r="J181">
        <v>48545</v>
      </c>
      <c r="K181">
        <v>246</v>
      </c>
      <c r="L181" s="8">
        <v>0.116952247736721</v>
      </c>
      <c r="M181" t="s">
        <v>42</v>
      </c>
      <c r="N181" t="s">
        <v>55</v>
      </c>
    </row>
    <row r="182" spans="1:14">
      <c r="A182" t="s">
        <v>317</v>
      </c>
      <c r="B182" t="s">
        <v>14</v>
      </c>
      <c r="C182" s="7">
        <v>45691</v>
      </c>
      <c r="D182" t="s">
        <v>25</v>
      </c>
      <c r="E182" t="s">
        <v>26</v>
      </c>
      <c r="F182">
        <v>1205</v>
      </c>
      <c r="G182">
        <v>486</v>
      </c>
      <c r="H182">
        <v>269</v>
      </c>
      <c r="I182">
        <v>23341</v>
      </c>
      <c r="J182">
        <v>42411</v>
      </c>
      <c r="K182">
        <v>184</v>
      </c>
      <c r="L182" s="8">
        <v>8.3972409065592696E-2</v>
      </c>
      <c r="M182" t="s">
        <v>42</v>
      </c>
      <c r="N182" t="s">
        <v>55</v>
      </c>
    </row>
    <row r="183" spans="1:14">
      <c r="A183" t="s">
        <v>324</v>
      </c>
      <c r="B183" t="s">
        <v>14</v>
      </c>
      <c r="C183" s="7">
        <v>45589</v>
      </c>
      <c r="D183" t="s">
        <v>25</v>
      </c>
      <c r="E183" t="s">
        <v>41</v>
      </c>
      <c r="F183">
        <v>1914</v>
      </c>
      <c r="G183">
        <v>255</v>
      </c>
      <c r="H183">
        <v>156</v>
      </c>
      <c r="I183">
        <v>27660</v>
      </c>
      <c r="J183">
        <v>47776</v>
      </c>
      <c r="K183">
        <v>111</v>
      </c>
      <c r="L183" s="8">
        <v>8.4056399132321005E-2</v>
      </c>
      <c r="M183" t="s">
        <v>42</v>
      </c>
      <c r="N183" t="s">
        <v>55</v>
      </c>
    </row>
    <row r="184" spans="1:14">
      <c r="A184" t="s">
        <v>329</v>
      </c>
      <c r="B184" t="s">
        <v>14</v>
      </c>
      <c r="C184" s="7">
        <v>45678</v>
      </c>
      <c r="D184" t="s">
        <v>25</v>
      </c>
      <c r="E184" t="s">
        <v>26</v>
      </c>
      <c r="F184">
        <v>4918</v>
      </c>
      <c r="G184">
        <v>440</v>
      </c>
      <c r="H184">
        <v>149</v>
      </c>
      <c r="I184">
        <v>53269</v>
      </c>
      <c r="J184">
        <v>64370</v>
      </c>
      <c r="K184">
        <v>269</v>
      </c>
      <c r="L184" s="8">
        <v>0.103380953274888</v>
      </c>
      <c r="M184" t="s">
        <v>42</v>
      </c>
      <c r="N184" t="s">
        <v>55</v>
      </c>
    </row>
    <row r="185" spans="1:14">
      <c r="A185" t="s">
        <v>335</v>
      </c>
      <c r="B185" t="s">
        <v>14</v>
      </c>
      <c r="C185" s="7">
        <v>45724</v>
      </c>
      <c r="D185" t="s">
        <v>25</v>
      </c>
      <c r="E185" t="s">
        <v>41</v>
      </c>
      <c r="F185">
        <v>2244</v>
      </c>
      <c r="G185">
        <v>392</v>
      </c>
      <c r="H185">
        <v>231</v>
      </c>
      <c r="I185">
        <v>25834</v>
      </c>
      <c r="J185">
        <v>50906</v>
      </c>
      <c r="K185">
        <v>165</v>
      </c>
      <c r="L185" s="8">
        <v>0.110977781218549</v>
      </c>
      <c r="M185" t="s">
        <v>42</v>
      </c>
      <c r="N185" t="s">
        <v>55</v>
      </c>
    </row>
    <row r="186" spans="1:14">
      <c r="A186" t="s">
        <v>23</v>
      </c>
      <c r="B186" t="s">
        <v>24</v>
      </c>
      <c r="C186" s="7">
        <v>45629</v>
      </c>
      <c r="D186" t="s">
        <v>25</v>
      </c>
      <c r="E186" t="s">
        <v>26</v>
      </c>
      <c r="F186">
        <v>3092</v>
      </c>
      <c r="G186">
        <v>177</v>
      </c>
      <c r="H186">
        <v>81</v>
      </c>
      <c r="I186">
        <v>47533</v>
      </c>
      <c r="J186">
        <v>29220</v>
      </c>
      <c r="K186">
        <v>121</v>
      </c>
      <c r="L186" s="8">
        <v>7.0477352576105004E-2</v>
      </c>
      <c r="M186" t="s">
        <v>27</v>
      </c>
      <c r="N186" t="s">
        <v>18</v>
      </c>
    </row>
    <row r="187" spans="1:14">
      <c r="A187" t="s">
        <v>36</v>
      </c>
      <c r="B187" t="s">
        <v>24</v>
      </c>
      <c r="C187" s="7">
        <v>45645</v>
      </c>
      <c r="D187" t="s">
        <v>25</v>
      </c>
      <c r="E187" t="s">
        <v>37</v>
      </c>
      <c r="F187">
        <v>4674</v>
      </c>
      <c r="G187">
        <v>409</v>
      </c>
      <c r="H187">
        <v>327</v>
      </c>
      <c r="I187">
        <v>20756</v>
      </c>
      <c r="J187">
        <v>63599</v>
      </c>
      <c r="K187">
        <v>212</v>
      </c>
      <c r="L187" s="8">
        <v>0.26064752360763199</v>
      </c>
      <c r="M187" t="s">
        <v>17</v>
      </c>
      <c r="N187" t="s">
        <v>18</v>
      </c>
    </row>
    <row r="188" spans="1:14">
      <c r="A188" t="s">
        <v>38</v>
      </c>
      <c r="B188" t="s">
        <v>24</v>
      </c>
      <c r="C188" s="7">
        <v>45421</v>
      </c>
      <c r="D188" t="s">
        <v>25</v>
      </c>
      <c r="E188" t="s">
        <v>29</v>
      </c>
      <c r="F188">
        <v>1428</v>
      </c>
      <c r="G188">
        <v>347</v>
      </c>
      <c r="H188">
        <v>67</v>
      </c>
      <c r="I188">
        <v>21148</v>
      </c>
      <c r="J188">
        <v>19712</v>
      </c>
      <c r="K188">
        <v>120</v>
      </c>
      <c r="L188" s="8">
        <v>8.7100435029317205E-2</v>
      </c>
      <c r="M188" t="s">
        <v>39</v>
      </c>
      <c r="N188" t="s">
        <v>18</v>
      </c>
    </row>
    <row r="189" spans="1:14">
      <c r="A189" t="s">
        <v>47</v>
      </c>
      <c r="B189" t="s">
        <v>24</v>
      </c>
      <c r="C189" s="7">
        <v>45826</v>
      </c>
      <c r="D189" t="s">
        <v>25</v>
      </c>
      <c r="E189" t="s">
        <v>16</v>
      </c>
      <c r="F189">
        <v>3956</v>
      </c>
      <c r="G189">
        <v>319</v>
      </c>
      <c r="H189">
        <v>61</v>
      </c>
      <c r="I189">
        <v>58162</v>
      </c>
      <c r="J189">
        <v>28720</v>
      </c>
      <c r="K189">
        <v>213</v>
      </c>
      <c r="L189" s="8">
        <v>7.4550393727863595E-2</v>
      </c>
      <c r="M189" t="s">
        <v>27</v>
      </c>
      <c r="N189" t="s">
        <v>18</v>
      </c>
    </row>
    <row r="190" spans="1:14">
      <c r="A190" t="s">
        <v>52</v>
      </c>
      <c r="B190" t="s">
        <v>24</v>
      </c>
      <c r="C190" s="7">
        <v>45655</v>
      </c>
      <c r="D190" t="s">
        <v>25</v>
      </c>
      <c r="E190" t="s">
        <v>26</v>
      </c>
      <c r="F190">
        <v>4049</v>
      </c>
      <c r="G190">
        <v>377</v>
      </c>
      <c r="H190">
        <v>94</v>
      </c>
      <c r="I190">
        <v>48182</v>
      </c>
      <c r="J190">
        <v>42875</v>
      </c>
      <c r="K190">
        <v>172</v>
      </c>
      <c r="L190" s="8">
        <v>9.3810966751068897E-2</v>
      </c>
      <c r="M190" t="s">
        <v>27</v>
      </c>
      <c r="N190" t="s">
        <v>18</v>
      </c>
    </row>
    <row r="191" spans="1:14">
      <c r="A191" t="s">
        <v>66</v>
      </c>
      <c r="B191" t="s">
        <v>24</v>
      </c>
      <c r="C191" s="7">
        <v>45791</v>
      </c>
      <c r="D191" t="s">
        <v>25</v>
      </c>
      <c r="E191" t="s">
        <v>49</v>
      </c>
      <c r="F191">
        <v>2707</v>
      </c>
      <c r="G191">
        <v>103</v>
      </c>
      <c r="H191">
        <v>51</v>
      </c>
      <c r="I191">
        <v>55302</v>
      </c>
      <c r="J191">
        <v>18801</v>
      </c>
      <c r="K191">
        <v>147</v>
      </c>
      <c r="L191" s="8">
        <v>5.1734114498571501E-2</v>
      </c>
      <c r="M191" t="s">
        <v>39</v>
      </c>
      <c r="N191" t="s">
        <v>18</v>
      </c>
    </row>
    <row r="192" spans="1:14">
      <c r="A192" t="s">
        <v>69</v>
      </c>
      <c r="B192" t="s">
        <v>24</v>
      </c>
      <c r="C192" s="7">
        <v>45734</v>
      </c>
      <c r="D192" t="s">
        <v>25</v>
      </c>
      <c r="E192" t="s">
        <v>20</v>
      </c>
      <c r="F192">
        <v>3418</v>
      </c>
      <c r="G192">
        <v>188</v>
      </c>
      <c r="H192">
        <v>387</v>
      </c>
      <c r="I192">
        <v>57431</v>
      </c>
      <c r="J192">
        <v>36933</v>
      </c>
      <c r="K192">
        <v>202</v>
      </c>
      <c r="L192" s="8">
        <v>6.9526910553533799E-2</v>
      </c>
      <c r="M192" t="s">
        <v>27</v>
      </c>
      <c r="N192" t="s">
        <v>18</v>
      </c>
    </row>
    <row r="193" spans="1:14">
      <c r="A193" t="s">
        <v>72</v>
      </c>
      <c r="B193" t="s">
        <v>24</v>
      </c>
      <c r="C193" s="7">
        <v>45419</v>
      </c>
      <c r="D193" t="s">
        <v>25</v>
      </c>
      <c r="E193" t="s">
        <v>20</v>
      </c>
      <c r="F193">
        <v>2776</v>
      </c>
      <c r="G193">
        <v>307</v>
      </c>
      <c r="H193">
        <v>178</v>
      </c>
      <c r="I193">
        <v>43365</v>
      </c>
      <c r="J193">
        <v>48408</v>
      </c>
      <c r="K193">
        <v>138</v>
      </c>
      <c r="L193" s="8">
        <v>7.5198893116568605E-2</v>
      </c>
      <c r="M193" t="s">
        <v>17</v>
      </c>
      <c r="N193" t="s">
        <v>18</v>
      </c>
    </row>
    <row r="194" spans="1:14">
      <c r="A194" t="s">
        <v>73</v>
      </c>
      <c r="B194" t="s">
        <v>24</v>
      </c>
      <c r="C194" s="7">
        <v>45574</v>
      </c>
      <c r="D194" t="s">
        <v>25</v>
      </c>
      <c r="E194" t="s">
        <v>16</v>
      </c>
      <c r="F194">
        <v>4929</v>
      </c>
      <c r="G194">
        <v>182</v>
      </c>
      <c r="H194">
        <v>95</v>
      </c>
      <c r="I194">
        <v>32181</v>
      </c>
      <c r="J194">
        <v>31084</v>
      </c>
      <c r="K194">
        <v>289</v>
      </c>
      <c r="L194" s="8">
        <v>0.16177247444144099</v>
      </c>
      <c r="M194" t="s">
        <v>39</v>
      </c>
      <c r="N194" t="s">
        <v>18</v>
      </c>
    </row>
    <row r="195" spans="1:14">
      <c r="A195" t="s">
        <v>75</v>
      </c>
      <c r="B195" t="s">
        <v>24</v>
      </c>
      <c r="C195" s="7">
        <v>45785</v>
      </c>
      <c r="D195" t="s">
        <v>25</v>
      </c>
      <c r="E195" t="s">
        <v>51</v>
      </c>
      <c r="F195">
        <v>3316</v>
      </c>
      <c r="G195">
        <v>332</v>
      </c>
      <c r="H195">
        <v>268</v>
      </c>
      <c r="I195">
        <v>40095</v>
      </c>
      <c r="J195">
        <v>36913</v>
      </c>
      <c r="K195">
        <v>265</v>
      </c>
      <c r="L195" s="8">
        <v>9.7668038408779106E-2</v>
      </c>
      <c r="M195" t="s">
        <v>27</v>
      </c>
      <c r="N195" t="s">
        <v>18</v>
      </c>
    </row>
    <row r="196" spans="1:14">
      <c r="A196" t="s">
        <v>77</v>
      </c>
      <c r="B196" t="s">
        <v>24</v>
      </c>
      <c r="C196" s="7">
        <v>45804</v>
      </c>
      <c r="D196" t="s">
        <v>25</v>
      </c>
      <c r="E196" t="s">
        <v>20</v>
      </c>
      <c r="F196">
        <v>4095</v>
      </c>
      <c r="G196">
        <v>385</v>
      </c>
      <c r="H196">
        <v>400</v>
      </c>
      <c r="I196">
        <v>45300</v>
      </c>
      <c r="J196">
        <v>31795</v>
      </c>
      <c r="K196">
        <v>80</v>
      </c>
      <c r="L196" s="8">
        <v>0.107726269315673</v>
      </c>
      <c r="M196" t="s">
        <v>27</v>
      </c>
      <c r="N196" t="s">
        <v>18</v>
      </c>
    </row>
    <row r="197" spans="1:14">
      <c r="A197" t="s">
        <v>89</v>
      </c>
      <c r="B197" t="s">
        <v>24</v>
      </c>
      <c r="C197" s="7">
        <v>45533</v>
      </c>
      <c r="D197" t="s">
        <v>25</v>
      </c>
      <c r="E197" t="s">
        <v>37</v>
      </c>
      <c r="F197">
        <v>4276</v>
      </c>
      <c r="G197">
        <v>227</v>
      </c>
      <c r="H197">
        <v>223</v>
      </c>
      <c r="I197">
        <v>43443</v>
      </c>
      <c r="J197">
        <v>41005</v>
      </c>
      <c r="K197">
        <v>191</v>
      </c>
      <c r="L197" s="8">
        <v>0.108786225628985</v>
      </c>
      <c r="M197" t="s">
        <v>39</v>
      </c>
      <c r="N197" t="s">
        <v>18</v>
      </c>
    </row>
    <row r="198" spans="1:14">
      <c r="A198" t="s">
        <v>92</v>
      </c>
      <c r="B198" t="s">
        <v>24</v>
      </c>
      <c r="C198" s="7">
        <v>45539</v>
      </c>
      <c r="D198" t="s">
        <v>25</v>
      </c>
      <c r="E198" t="s">
        <v>26</v>
      </c>
      <c r="F198">
        <v>2613</v>
      </c>
      <c r="G198">
        <v>455</v>
      </c>
      <c r="H198">
        <v>228</v>
      </c>
      <c r="I198">
        <v>21645</v>
      </c>
      <c r="J198">
        <v>61334</v>
      </c>
      <c r="K198">
        <v>261</v>
      </c>
      <c r="L198" s="8">
        <v>0.15227535227535199</v>
      </c>
      <c r="M198" t="s">
        <v>39</v>
      </c>
      <c r="N198" t="s">
        <v>18</v>
      </c>
    </row>
    <row r="199" spans="1:14">
      <c r="A199" t="s">
        <v>93</v>
      </c>
      <c r="B199" t="s">
        <v>24</v>
      </c>
      <c r="C199" s="7">
        <v>45516</v>
      </c>
      <c r="D199" t="s">
        <v>25</v>
      </c>
      <c r="E199" t="s">
        <v>35</v>
      </c>
      <c r="F199">
        <v>2842</v>
      </c>
      <c r="G199">
        <v>213</v>
      </c>
      <c r="H199">
        <v>331</v>
      </c>
      <c r="I199">
        <v>57660</v>
      </c>
      <c r="J199">
        <v>68606</v>
      </c>
      <c r="K199">
        <v>87</v>
      </c>
      <c r="L199" s="8">
        <v>5.8723551855705901E-2</v>
      </c>
      <c r="M199" t="s">
        <v>27</v>
      </c>
      <c r="N199" t="s">
        <v>18</v>
      </c>
    </row>
    <row r="200" spans="1:14">
      <c r="A200" t="s">
        <v>102</v>
      </c>
      <c r="B200" t="s">
        <v>24</v>
      </c>
      <c r="C200" s="7">
        <v>45599</v>
      </c>
      <c r="D200" t="s">
        <v>25</v>
      </c>
      <c r="E200" t="s">
        <v>29</v>
      </c>
      <c r="F200">
        <v>1959</v>
      </c>
      <c r="G200">
        <v>316</v>
      </c>
      <c r="H200">
        <v>82</v>
      </c>
      <c r="I200">
        <v>54036</v>
      </c>
      <c r="J200">
        <v>69015</v>
      </c>
      <c r="K200">
        <v>182</v>
      </c>
      <c r="L200" s="8">
        <v>4.3619068768968802E-2</v>
      </c>
      <c r="M200" t="s">
        <v>27</v>
      </c>
      <c r="N200" t="s">
        <v>18</v>
      </c>
    </row>
    <row r="201" spans="1:14">
      <c r="A201" t="s">
        <v>104</v>
      </c>
      <c r="B201" t="s">
        <v>24</v>
      </c>
      <c r="C201" s="7">
        <v>45679</v>
      </c>
      <c r="D201" t="s">
        <v>25</v>
      </c>
      <c r="E201" t="s">
        <v>26</v>
      </c>
      <c r="F201">
        <v>4478</v>
      </c>
      <c r="G201">
        <v>101</v>
      </c>
      <c r="H201">
        <v>121</v>
      </c>
      <c r="I201">
        <v>51035</v>
      </c>
      <c r="J201">
        <v>58207</v>
      </c>
      <c r="K201">
        <v>205</v>
      </c>
      <c r="L201" s="8">
        <v>9.2093661212893099E-2</v>
      </c>
      <c r="M201" t="s">
        <v>27</v>
      </c>
      <c r="N201" t="s">
        <v>18</v>
      </c>
    </row>
    <row r="202" spans="1:14">
      <c r="A202" t="s">
        <v>109</v>
      </c>
      <c r="B202" t="s">
        <v>24</v>
      </c>
      <c r="C202" s="7">
        <v>45643</v>
      </c>
      <c r="D202" t="s">
        <v>25</v>
      </c>
      <c r="E202" t="s">
        <v>32</v>
      </c>
      <c r="F202">
        <v>1316</v>
      </c>
      <c r="G202">
        <v>472</v>
      </c>
      <c r="H202">
        <v>286</v>
      </c>
      <c r="I202">
        <v>44692</v>
      </c>
      <c r="J202">
        <v>53343</v>
      </c>
      <c r="K202">
        <v>227</v>
      </c>
      <c r="L202" s="8">
        <v>4.6406515707509199E-2</v>
      </c>
      <c r="M202" t="s">
        <v>39</v>
      </c>
      <c r="N202" t="s">
        <v>18</v>
      </c>
    </row>
    <row r="203" spans="1:14">
      <c r="A203" t="s">
        <v>114</v>
      </c>
      <c r="B203" t="s">
        <v>24</v>
      </c>
      <c r="C203" s="7">
        <v>45431</v>
      </c>
      <c r="D203" t="s">
        <v>25</v>
      </c>
      <c r="E203" t="s">
        <v>37</v>
      </c>
      <c r="F203">
        <v>1763</v>
      </c>
      <c r="G203">
        <v>206</v>
      </c>
      <c r="H203">
        <v>187</v>
      </c>
      <c r="I203">
        <v>53342</v>
      </c>
      <c r="J203">
        <v>25095</v>
      </c>
      <c r="K203">
        <v>88</v>
      </c>
      <c r="L203" s="8">
        <v>4.04184320047992E-2</v>
      </c>
      <c r="M203" t="s">
        <v>39</v>
      </c>
      <c r="N203" t="s">
        <v>18</v>
      </c>
    </row>
    <row r="204" spans="1:14">
      <c r="A204" t="s">
        <v>115</v>
      </c>
      <c r="B204" t="s">
        <v>24</v>
      </c>
      <c r="C204" s="7">
        <v>45313</v>
      </c>
      <c r="D204" t="s">
        <v>25</v>
      </c>
      <c r="E204" t="s">
        <v>49</v>
      </c>
      <c r="F204">
        <v>1554</v>
      </c>
      <c r="G204">
        <v>455</v>
      </c>
      <c r="H204">
        <v>158</v>
      </c>
      <c r="I204">
        <v>41947</v>
      </c>
      <c r="J204">
        <v>48578</v>
      </c>
      <c r="K204">
        <v>101</v>
      </c>
      <c r="L204" s="8">
        <v>5.1660428636136103E-2</v>
      </c>
      <c r="M204" t="s">
        <v>17</v>
      </c>
      <c r="N204" t="s">
        <v>18</v>
      </c>
    </row>
    <row r="205" spans="1:14">
      <c r="A205" t="s">
        <v>118</v>
      </c>
      <c r="B205" t="s">
        <v>24</v>
      </c>
      <c r="C205" s="7">
        <v>45678</v>
      </c>
      <c r="D205" t="s">
        <v>25</v>
      </c>
      <c r="E205" t="s">
        <v>16</v>
      </c>
      <c r="F205">
        <v>2494</v>
      </c>
      <c r="G205">
        <v>494</v>
      </c>
      <c r="H205">
        <v>55</v>
      </c>
      <c r="I205">
        <v>22580</v>
      </c>
      <c r="J205">
        <v>22214</v>
      </c>
      <c r="K205">
        <v>109</v>
      </c>
      <c r="L205" s="8">
        <v>0.134765279007972</v>
      </c>
      <c r="M205" t="s">
        <v>27</v>
      </c>
      <c r="N205" t="s">
        <v>18</v>
      </c>
    </row>
    <row r="206" spans="1:14">
      <c r="A206" t="s">
        <v>123</v>
      </c>
      <c r="B206" t="s">
        <v>24</v>
      </c>
      <c r="C206" s="7">
        <v>45660</v>
      </c>
      <c r="D206" t="s">
        <v>25</v>
      </c>
      <c r="E206" t="s">
        <v>37</v>
      </c>
      <c r="F206">
        <v>4845</v>
      </c>
      <c r="G206">
        <v>158</v>
      </c>
      <c r="H206">
        <v>84</v>
      </c>
      <c r="I206">
        <v>34578</v>
      </c>
      <c r="J206">
        <v>51480</v>
      </c>
      <c r="K206">
        <v>180</v>
      </c>
      <c r="L206" s="8">
        <v>0.14711666377465399</v>
      </c>
      <c r="M206" t="s">
        <v>17</v>
      </c>
      <c r="N206" t="s">
        <v>18</v>
      </c>
    </row>
    <row r="207" spans="1:14">
      <c r="A207" t="s">
        <v>126</v>
      </c>
      <c r="B207" t="s">
        <v>24</v>
      </c>
      <c r="C207" s="7">
        <v>45791</v>
      </c>
      <c r="D207" t="s">
        <v>25</v>
      </c>
      <c r="E207" t="s">
        <v>29</v>
      </c>
      <c r="F207">
        <v>1371</v>
      </c>
      <c r="G207">
        <v>139</v>
      </c>
      <c r="H207">
        <v>96</v>
      </c>
      <c r="I207">
        <v>36140</v>
      </c>
      <c r="J207">
        <v>39395</v>
      </c>
      <c r="K207">
        <v>169</v>
      </c>
      <c r="L207" s="8">
        <v>4.4438295517432197E-2</v>
      </c>
      <c r="M207" t="s">
        <v>17</v>
      </c>
      <c r="N207" t="s">
        <v>18</v>
      </c>
    </row>
    <row r="208" spans="1:14">
      <c r="A208" t="s">
        <v>127</v>
      </c>
      <c r="B208" t="s">
        <v>24</v>
      </c>
      <c r="C208" s="7">
        <v>45405</v>
      </c>
      <c r="D208" t="s">
        <v>25</v>
      </c>
      <c r="E208" t="s">
        <v>16</v>
      </c>
      <c r="F208">
        <v>2683</v>
      </c>
      <c r="G208">
        <v>496</v>
      </c>
      <c r="H208">
        <v>89</v>
      </c>
      <c r="I208">
        <v>53435</v>
      </c>
      <c r="J208">
        <v>30334</v>
      </c>
      <c r="K208">
        <v>160</v>
      </c>
      <c r="L208" s="8">
        <v>6.1158416768035899E-2</v>
      </c>
      <c r="M208" t="s">
        <v>17</v>
      </c>
      <c r="N208" t="s">
        <v>18</v>
      </c>
    </row>
    <row r="209" spans="1:14">
      <c r="A209" t="s">
        <v>128</v>
      </c>
      <c r="B209" t="s">
        <v>24</v>
      </c>
      <c r="C209" s="7">
        <v>45705</v>
      </c>
      <c r="D209" t="s">
        <v>25</v>
      </c>
      <c r="E209" t="s">
        <v>35</v>
      </c>
      <c r="F209">
        <v>4796</v>
      </c>
      <c r="G209">
        <v>427</v>
      </c>
      <c r="H209">
        <v>339</v>
      </c>
      <c r="I209">
        <v>30752</v>
      </c>
      <c r="J209">
        <v>33870</v>
      </c>
      <c r="K209">
        <v>298</v>
      </c>
      <c r="L209" s="8">
        <v>0.18086628511966699</v>
      </c>
      <c r="M209" t="s">
        <v>17</v>
      </c>
      <c r="N209" t="s">
        <v>18</v>
      </c>
    </row>
    <row r="210" spans="1:14">
      <c r="A210" t="s">
        <v>130</v>
      </c>
      <c r="B210" t="s">
        <v>24</v>
      </c>
      <c r="C210" s="7">
        <v>45495</v>
      </c>
      <c r="D210" t="s">
        <v>25</v>
      </c>
      <c r="E210" t="s">
        <v>29</v>
      </c>
      <c r="F210">
        <v>3336</v>
      </c>
      <c r="G210">
        <v>229</v>
      </c>
      <c r="H210">
        <v>337</v>
      </c>
      <c r="I210">
        <v>22117</v>
      </c>
      <c r="J210">
        <v>26205</v>
      </c>
      <c r="K210">
        <v>160</v>
      </c>
      <c r="L210" s="8">
        <v>0.17642537414658399</v>
      </c>
      <c r="M210" t="s">
        <v>27</v>
      </c>
      <c r="N210" t="s">
        <v>18</v>
      </c>
    </row>
    <row r="211" spans="1:14">
      <c r="A211" t="s">
        <v>134</v>
      </c>
      <c r="B211" t="s">
        <v>24</v>
      </c>
      <c r="C211" s="7">
        <v>45609</v>
      </c>
      <c r="D211" t="s">
        <v>25</v>
      </c>
      <c r="E211" t="s">
        <v>41</v>
      </c>
      <c r="F211">
        <v>4628</v>
      </c>
      <c r="G211">
        <v>257</v>
      </c>
      <c r="H211">
        <v>397</v>
      </c>
      <c r="I211">
        <v>36686</v>
      </c>
      <c r="J211">
        <v>54683</v>
      </c>
      <c r="K211">
        <v>98</v>
      </c>
      <c r="L211" s="8">
        <v>0.14397862944992601</v>
      </c>
      <c r="M211" t="s">
        <v>17</v>
      </c>
      <c r="N211" t="s">
        <v>18</v>
      </c>
    </row>
    <row r="212" spans="1:14">
      <c r="A212" t="s">
        <v>136</v>
      </c>
      <c r="B212" t="s">
        <v>24</v>
      </c>
      <c r="C212" s="7">
        <v>45367</v>
      </c>
      <c r="D212" t="s">
        <v>25</v>
      </c>
      <c r="E212" t="s">
        <v>29</v>
      </c>
      <c r="F212">
        <v>2895</v>
      </c>
      <c r="G212">
        <v>292</v>
      </c>
      <c r="H212">
        <v>90</v>
      </c>
      <c r="I212">
        <v>24223</v>
      </c>
      <c r="J212">
        <v>54626</v>
      </c>
      <c r="K212">
        <v>114</v>
      </c>
      <c r="L212" s="8">
        <v>0.13528464682326699</v>
      </c>
      <c r="M212" t="s">
        <v>17</v>
      </c>
      <c r="N212" t="s">
        <v>18</v>
      </c>
    </row>
    <row r="213" spans="1:14">
      <c r="A213" t="s">
        <v>138</v>
      </c>
      <c r="B213" t="s">
        <v>24</v>
      </c>
      <c r="C213" s="7">
        <v>45366</v>
      </c>
      <c r="D213" t="s">
        <v>25</v>
      </c>
      <c r="E213" t="s">
        <v>37</v>
      </c>
      <c r="F213">
        <v>4969</v>
      </c>
      <c r="G213">
        <v>433</v>
      </c>
      <c r="H213">
        <v>237</v>
      </c>
      <c r="I213">
        <v>59552</v>
      </c>
      <c r="J213">
        <v>23885</v>
      </c>
      <c r="K213">
        <v>157</v>
      </c>
      <c r="L213" s="8">
        <v>9.4690354648038697E-2</v>
      </c>
      <c r="M213" t="s">
        <v>39</v>
      </c>
      <c r="N213" t="s">
        <v>18</v>
      </c>
    </row>
    <row r="214" spans="1:14">
      <c r="A214" t="s">
        <v>144</v>
      </c>
      <c r="B214" t="s">
        <v>24</v>
      </c>
      <c r="C214" s="7">
        <v>45413</v>
      </c>
      <c r="D214" t="s">
        <v>25</v>
      </c>
      <c r="E214" t="s">
        <v>35</v>
      </c>
      <c r="F214">
        <v>2587</v>
      </c>
      <c r="G214">
        <v>447</v>
      </c>
      <c r="H214">
        <v>183</v>
      </c>
      <c r="I214">
        <v>36266</v>
      </c>
      <c r="J214">
        <v>32877</v>
      </c>
      <c r="K214">
        <v>132</v>
      </c>
      <c r="L214" s="8">
        <v>8.8705674736668003E-2</v>
      </c>
      <c r="M214" t="s">
        <v>39</v>
      </c>
      <c r="N214" t="s">
        <v>18</v>
      </c>
    </row>
    <row r="215" spans="1:14">
      <c r="A215" t="s">
        <v>146</v>
      </c>
      <c r="B215" t="s">
        <v>24</v>
      </c>
      <c r="C215" s="7">
        <v>45677</v>
      </c>
      <c r="D215" t="s">
        <v>25</v>
      </c>
      <c r="E215" t="s">
        <v>26</v>
      </c>
      <c r="F215">
        <v>4619</v>
      </c>
      <c r="G215">
        <v>272</v>
      </c>
      <c r="H215">
        <v>57</v>
      </c>
      <c r="I215">
        <v>21334</v>
      </c>
      <c r="J215">
        <v>46292</v>
      </c>
      <c r="K215">
        <v>91</v>
      </c>
      <c r="L215" s="8">
        <v>0.23193025217961899</v>
      </c>
      <c r="M215" t="s">
        <v>17</v>
      </c>
      <c r="N215" t="s">
        <v>18</v>
      </c>
    </row>
    <row r="216" spans="1:14">
      <c r="A216" t="s">
        <v>158</v>
      </c>
      <c r="B216" t="s">
        <v>24</v>
      </c>
      <c r="C216" s="7">
        <v>45428</v>
      </c>
      <c r="D216" t="s">
        <v>25</v>
      </c>
      <c r="E216" t="s">
        <v>32</v>
      </c>
      <c r="F216">
        <v>2023</v>
      </c>
      <c r="G216">
        <v>124</v>
      </c>
      <c r="H216">
        <v>99</v>
      </c>
      <c r="I216">
        <v>54524</v>
      </c>
      <c r="J216">
        <v>34790</v>
      </c>
      <c r="K216">
        <v>195</v>
      </c>
      <c r="L216" s="8">
        <v>4.1192869195216801E-2</v>
      </c>
      <c r="M216" t="s">
        <v>39</v>
      </c>
      <c r="N216" t="s">
        <v>18</v>
      </c>
    </row>
    <row r="217" spans="1:14">
      <c r="A217" t="s">
        <v>159</v>
      </c>
      <c r="B217" t="s">
        <v>24</v>
      </c>
      <c r="C217" s="7">
        <v>45806</v>
      </c>
      <c r="D217" t="s">
        <v>25</v>
      </c>
      <c r="E217" t="s">
        <v>32</v>
      </c>
      <c r="F217">
        <v>2134</v>
      </c>
      <c r="G217">
        <v>322</v>
      </c>
      <c r="H217">
        <v>114</v>
      </c>
      <c r="I217">
        <v>44338</v>
      </c>
      <c r="J217">
        <v>52165</v>
      </c>
      <c r="K217">
        <v>176</v>
      </c>
      <c r="L217" s="8">
        <v>5.7963823356939899E-2</v>
      </c>
      <c r="M217" t="s">
        <v>27</v>
      </c>
      <c r="N217" t="s">
        <v>18</v>
      </c>
    </row>
    <row r="218" spans="1:14">
      <c r="A218" t="s">
        <v>162</v>
      </c>
      <c r="B218" t="s">
        <v>24</v>
      </c>
      <c r="C218" s="7">
        <v>45346</v>
      </c>
      <c r="D218" t="s">
        <v>25</v>
      </c>
      <c r="E218" t="s">
        <v>32</v>
      </c>
      <c r="F218">
        <v>1022</v>
      </c>
      <c r="G218">
        <v>463</v>
      </c>
      <c r="H218">
        <v>360</v>
      </c>
      <c r="I218">
        <v>51468</v>
      </c>
      <c r="J218">
        <v>24279</v>
      </c>
      <c r="K218">
        <v>230</v>
      </c>
      <c r="L218" s="8">
        <v>3.5847516903707202E-2</v>
      </c>
      <c r="M218" t="s">
        <v>39</v>
      </c>
      <c r="N218" t="s">
        <v>18</v>
      </c>
    </row>
    <row r="219" spans="1:14">
      <c r="A219" t="s">
        <v>164</v>
      </c>
      <c r="B219" t="s">
        <v>24</v>
      </c>
      <c r="C219" s="7">
        <v>45421</v>
      </c>
      <c r="D219" t="s">
        <v>25</v>
      </c>
      <c r="E219" t="s">
        <v>26</v>
      </c>
      <c r="F219">
        <v>3277</v>
      </c>
      <c r="G219">
        <v>423</v>
      </c>
      <c r="H219">
        <v>259</v>
      </c>
      <c r="I219">
        <v>46328</v>
      </c>
      <c r="J219">
        <v>44293</v>
      </c>
      <c r="K219">
        <v>299</v>
      </c>
      <c r="L219" s="8">
        <v>8.5455879813503693E-2</v>
      </c>
      <c r="M219" t="s">
        <v>17</v>
      </c>
      <c r="N219" t="s">
        <v>18</v>
      </c>
    </row>
    <row r="220" spans="1:14">
      <c r="A220" t="s">
        <v>166</v>
      </c>
      <c r="B220" t="s">
        <v>24</v>
      </c>
      <c r="C220" s="7">
        <v>45295</v>
      </c>
      <c r="D220" t="s">
        <v>25</v>
      </c>
      <c r="E220" t="s">
        <v>35</v>
      </c>
      <c r="F220">
        <v>3208</v>
      </c>
      <c r="G220">
        <v>476</v>
      </c>
      <c r="H220">
        <v>277</v>
      </c>
      <c r="I220">
        <v>56072</v>
      </c>
      <c r="J220">
        <v>21061</v>
      </c>
      <c r="K220">
        <v>113</v>
      </c>
      <c r="L220" s="8">
        <v>7.0641318305036394E-2</v>
      </c>
      <c r="M220" t="s">
        <v>27</v>
      </c>
      <c r="N220" t="s">
        <v>18</v>
      </c>
    </row>
    <row r="221" spans="1:14">
      <c r="A221" t="s">
        <v>169</v>
      </c>
      <c r="B221" t="s">
        <v>24</v>
      </c>
      <c r="C221" s="7">
        <v>45839</v>
      </c>
      <c r="D221" t="s">
        <v>25</v>
      </c>
      <c r="E221" t="s">
        <v>20</v>
      </c>
      <c r="F221">
        <v>3219</v>
      </c>
      <c r="G221">
        <v>424</v>
      </c>
      <c r="H221">
        <v>267</v>
      </c>
      <c r="I221">
        <v>48879</v>
      </c>
      <c r="J221">
        <v>37691</v>
      </c>
      <c r="K221">
        <v>224</v>
      </c>
      <c r="L221" s="8">
        <v>7.9993453221219799E-2</v>
      </c>
      <c r="M221" t="s">
        <v>39</v>
      </c>
      <c r="N221" t="s">
        <v>18</v>
      </c>
    </row>
    <row r="222" spans="1:14">
      <c r="A222" t="s">
        <v>175</v>
      </c>
      <c r="B222" t="s">
        <v>24</v>
      </c>
      <c r="C222" s="7">
        <v>45569</v>
      </c>
      <c r="D222" t="s">
        <v>25</v>
      </c>
      <c r="E222" t="s">
        <v>20</v>
      </c>
      <c r="F222">
        <v>2870</v>
      </c>
      <c r="G222">
        <v>380</v>
      </c>
      <c r="H222">
        <v>393</v>
      </c>
      <c r="I222">
        <v>37621</v>
      </c>
      <c r="J222">
        <v>71794</v>
      </c>
      <c r="K222">
        <v>127</v>
      </c>
      <c r="L222" s="8">
        <v>9.6834214933149004E-2</v>
      </c>
      <c r="M222" t="s">
        <v>27</v>
      </c>
      <c r="N222" t="s">
        <v>18</v>
      </c>
    </row>
    <row r="223" spans="1:14">
      <c r="A223" t="s">
        <v>177</v>
      </c>
      <c r="B223" t="s">
        <v>24</v>
      </c>
      <c r="C223" s="7">
        <v>45387</v>
      </c>
      <c r="D223" t="s">
        <v>25</v>
      </c>
      <c r="E223" t="s">
        <v>26</v>
      </c>
      <c r="F223">
        <v>4965</v>
      </c>
      <c r="G223">
        <v>175</v>
      </c>
      <c r="H223">
        <v>307</v>
      </c>
      <c r="I223">
        <v>32793</v>
      </c>
      <c r="J223">
        <v>43412</v>
      </c>
      <c r="K223">
        <v>296</v>
      </c>
      <c r="L223" s="8">
        <v>0.16610252187966901</v>
      </c>
      <c r="M223" t="s">
        <v>17</v>
      </c>
      <c r="N223" t="s">
        <v>18</v>
      </c>
    </row>
    <row r="224" spans="1:14">
      <c r="A224" t="s">
        <v>178</v>
      </c>
      <c r="B224" t="s">
        <v>24</v>
      </c>
      <c r="C224" s="7">
        <v>45624</v>
      </c>
      <c r="D224" t="s">
        <v>25</v>
      </c>
      <c r="E224" t="s">
        <v>26</v>
      </c>
      <c r="F224">
        <v>1131</v>
      </c>
      <c r="G224">
        <v>100</v>
      </c>
      <c r="H224">
        <v>116</v>
      </c>
      <c r="I224">
        <v>48437</v>
      </c>
      <c r="J224">
        <v>72704</v>
      </c>
      <c r="K224">
        <v>236</v>
      </c>
      <c r="L224" s="8">
        <v>2.78093193220059E-2</v>
      </c>
      <c r="M224" t="s">
        <v>39</v>
      </c>
      <c r="N224" t="s">
        <v>18</v>
      </c>
    </row>
    <row r="225" spans="1:14">
      <c r="A225" t="s">
        <v>180</v>
      </c>
      <c r="B225" t="s">
        <v>24</v>
      </c>
      <c r="C225" s="7">
        <v>45531</v>
      </c>
      <c r="D225" t="s">
        <v>25</v>
      </c>
      <c r="E225" t="s">
        <v>26</v>
      </c>
      <c r="F225">
        <v>1856</v>
      </c>
      <c r="G225">
        <v>357</v>
      </c>
      <c r="H225">
        <v>348</v>
      </c>
      <c r="I225">
        <v>29428</v>
      </c>
      <c r="J225">
        <v>70206</v>
      </c>
      <c r="K225">
        <v>236</v>
      </c>
      <c r="L225" s="8">
        <v>8.7025961669158602E-2</v>
      </c>
      <c r="M225" t="s">
        <v>27</v>
      </c>
      <c r="N225" t="s">
        <v>18</v>
      </c>
    </row>
    <row r="226" spans="1:14">
      <c r="A226" t="s">
        <v>185</v>
      </c>
      <c r="B226" t="s">
        <v>24</v>
      </c>
      <c r="C226" s="7">
        <v>45805</v>
      </c>
      <c r="D226" t="s">
        <v>25</v>
      </c>
      <c r="E226" t="s">
        <v>41</v>
      </c>
      <c r="F226">
        <v>4287</v>
      </c>
      <c r="G226">
        <v>273</v>
      </c>
      <c r="H226">
        <v>122</v>
      </c>
      <c r="I226">
        <v>40792</v>
      </c>
      <c r="J226">
        <v>23878</v>
      </c>
      <c r="K226">
        <v>277</v>
      </c>
      <c r="L226" s="8">
        <v>0.114777407334772</v>
      </c>
      <c r="M226" t="s">
        <v>27</v>
      </c>
      <c r="N226" t="s">
        <v>18</v>
      </c>
    </row>
    <row r="227" spans="1:14">
      <c r="A227" t="s">
        <v>187</v>
      </c>
      <c r="B227" t="s">
        <v>24</v>
      </c>
      <c r="C227" s="7">
        <v>45312</v>
      </c>
      <c r="D227" t="s">
        <v>25</v>
      </c>
      <c r="E227" t="s">
        <v>16</v>
      </c>
      <c r="F227">
        <v>2383</v>
      </c>
      <c r="G227">
        <v>136</v>
      </c>
      <c r="H227">
        <v>302</v>
      </c>
      <c r="I227">
        <v>39187</v>
      </c>
      <c r="J227">
        <v>22133</v>
      </c>
      <c r="K227">
        <v>208</v>
      </c>
      <c r="L227" s="8">
        <v>7.1988159338556207E-2</v>
      </c>
      <c r="M227" t="s">
        <v>27</v>
      </c>
      <c r="N227" t="s">
        <v>18</v>
      </c>
    </row>
    <row r="228" spans="1:14">
      <c r="A228" t="s">
        <v>188</v>
      </c>
      <c r="B228" t="s">
        <v>24</v>
      </c>
      <c r="C228" s="7">
        <v>45696</v>
      </c>
      <c r="D228" t="s">
        <v>25</v>
      </c>
      <c r="E228" t="s">
        <v>51</v>
      </c>
      <c r="F228">
        <v>4752</v>
      </c>
      <c r="G228">
        <v>334</v>
      </c>
      <c r="H228">
        <v>56</v>
      </c>
      <c r="I228">
        <v>48017</v>
      </c>
      <c r="J228">
        <v>55534</v>
      </c>
      <c r="K228">
        <v>270</v>
      </c>
      <c r="L228" s="8">
        <v>0.107087073328196</v>
      </c>
      <c r="M228" t="s">
        <v>39</v>
      </c>
      <c r="N228" t="s">
        <v>18</v>
      </c>
    </row>
    <row r="229" spans="1:14">
      <c r="A229" t="s">
        <v>190</v>
      </c>
      <c r="B229" t="s">
        <v>24</v>
      </c>
      <c r="C229" s="7">
        <v>45442</v>
      </c>
      <c r="D229" t="s">
        <v>25</v>
      </c>
      <c r="E229" t="s">
        <v>51</v>
      </c>
      <c r="F229">
        <v>2311</v>
      </c>
      <c r="G229">
        <v>207</v>
      </c>
      <c r="H229">
        <v>363</v>
      </c>
      <c r="I229">
        <v>30349</v>
      </c>
      <c r="J229">
        <v>32925</v>
      </c>
      <c r="K229">
        <v>88</v>
      </c>
      <c r="L229" s="8">
        <v>9.4928992718046695E-2</v>
      </c>
      <c r="M229" t="s">
        <v>27</v>
      </c>
      <c r="N229" t="s">
        <v>18</v>
      </c>
    </row>
    <row r="230" spans="1:14">
      <c r="A230" t="s">
        <v>193</v>
      </c>
      <c r="B230" t="s">
        <v>24</v>
      </c>
      <c r="C230" s="7">
        <v>45819</v>
      </c>
      <c r="D230" t="s">
        <v>25</v>
      </c>
      <c r="E230" t="s">
        <v>20</v>
      </c>
      <c r="F230">
        <v>3805</v>
      </c>
      <c r="G230">
        <v>453</v>
      </c>
      <c r="H230">
        <v>63</v>
      </c>
      <c r="I230">
        <v>52395</v>
      </c>
      <c r="J230">
        <v>72934</v>
      </c>
      <c r="K230">
        <v>87</v>
      </c>
      <c r="L230" s="8">
        <v>8.2469701307376603E-2</v>
      </c>
      <c r="M230" t="s">
        <v>39</v>
      </c>
      <c r="N230" t="s">
        <v>18</v>
      </c>
    </row>
    <row r="231" spans="1:14">
      <c r="A231" t="s">
        <v>198</v>
      </c>
      <c r="B231" t="s">
        <v>24</v>
      </c>
      <c r="C231" s="7">
        <v>45737</v>
      </c>
      <c r="D231" t="s">
        <v>25</v>
      </c>
      <c r="E231" t="s">
        <v>26</v>
      </c>
      <c r="F231">
        <v>4609</v>
      </c>
      <c r="G231">
        <v>427</v>
      </c>
      <c r="H231">
        <v>395</v>
      </c>
      <c r="I231">
        <v>33698</v>
      </c>
      <c r="J231">
        <v>29259</v>
      </c>
      <c r="K231">
        <v>216</v>
      </c>
      <c r="L231" s="8">
        <v>0.16116683482699301</v>
      </c>
      <c r="M231" t="s">
        <v>39</v>
      </c>
      <c r="N231" t="s">
        <v>18</v>
      </c>
    </row>
    <row r="232" spans="1:14">
      <c r="A232" t="s">
        <v>215</v>
      </c>
      <c r="B232" t="s">
        <v>24</v>
      </c>
      <c r="C232" s="7">
        <v>45748</v>
      </c>
      <c r="D232" t="s">
        <v>25</v>
      </c>
      <c r="E232" t="s">
        <v>32</v>
      </c>
      <c r="F232">
        <v>2665</v>
      </c>
      <c r="G232">
        <v>143</v>
      </c>
      <c r="H232">
        <v>315</v>
      </c>
      <c r="I232">
        <v>54808</v>
      </c>
      <c r="J232">
        <v>29818</v>
      </c>
      <c r="K232">
        <v>98</v>
      </c>
      <c r="L232" s="8">
        <v>5.6980732739746E-2</v>
      </c>
      <c r="M232" t="s">
        <v>39</v>
      </c>
      <c r="N232" t="s">
        <v>18</v>
      </c>
    </row>
    <row r="233" spans="1:14">
      <c r="A233" t="s">
        <v>220</v>
      </c>
      <c r="B233" t="s">
        <v>24</v>
      </c>
      <c r="C233" s="7">
        <v>45777</v>
      </c>
      <c r="D233" t="s">
        <v>25</v>
      </c>
      <c r="E233" t="s">
        <v>29</v>
      </c>
      <c r="F233">
        <v>3929</v>
      </c>
      <c r="G233">
        <v>275</v>
      </c>
      <c r="H233">
        <v>330</v>
      </c>
      <c r="I233">
        <v>58329</v>
      </c>
      <c r="J233">
        <v>33196</v>
      </c>
      <c r="K233">
        <v>85</v>
      </c>
      <c r="L233" s="8">
        <v>7.7731488624869297E-2</v>
      </c>
      <c r="M233" t="s">
        <v>27</v>
      </c>
      <c r="N233" t="s">
        <v>18</v>
      </c>
    </row>
    <row r="234" spans="1:14">
      <c r="A234" t="s">
        <v>224</v>
      </c>
      <c r="B234" t="s">
        <v>24</v>
      </c>
      <c r="C234" s="7">
        <v>45486</v>
      </c>
      <c r="D234" t="s">
        <v>25</v>
      </c>
      <c r="E234" t="s">
        <v>37</v>
      </c>
      <c r="F234">
        <v>2408</v>
      </c>
      <c r="G234">
        <v>323</v>
      </c>
      <c r="H234">
        <v>251</v>
      </c>
      <c r="I234">
        <v>47599</v>
      </c>
      <c r="J234">
        <v>35543</v>
      </c>
      <c r="K234">
        <v>287</v>
      </c>
      <c r="L234" s="8">
        <v>6.2648374965860607E-2</v>
      </c>
      <c r="M234" t="s">
        <v>27</v>
      </c>
      <c r="N234" t="s">
        <v>18</v>
      </c>
    </row>
    <row r="235" spans="1:14">
      <c r="A235" t="s">
        <v>226</v>
      </c>
      <c r="B235" t="s">
        <v>24</v>
      </c>
      <c r="C235" s="7">
        <v>45459</v>
      </c>
      <c r="D235" t="s">
        <v>25</v>
      </c>
      <c r="E235" t="s">
        <v>20</v>
      </c>
      <c r="F235">
        <v>4618</v>
      </c>
      <c r="G235">
        <v>312</v>
      </c>
      <c r="H235">
        <v>254</v>
      </c>
      <c r="I235">
        <v>22571</v>
      </c>
      <c r="J235">
        <v>29453</v>
      </c>
      <c r="K235">
        <v>197</v>
      </c>
      <c r="L235" s="8">
        <v>0.229675246998361</v>
      </c>
      <c r="M235" t="s">
        <v>27</v>
      </c>
      <c r="N235" t="s">
        <v>18</v>
      </c>
    </row>
    <row r="236" spans="1:14">
      <c r="A236" t="s">
        <v>232</v>
      </c>
      <c r="B236" t="s">
        <v>24</v>
      </c>
      <c r="C236" s="7">
        <v>45551</v>
      </c>
      <c r="D236" t="s">
        <v>25</v>
      </c>
      <c r="E236" t="s">
        <v>35</v>
      </c>
      <c r="F236">
        <v>4422</v>
      </c>
      <c r="G236">
        <v>434</v>
      </c>
      <c r="H236">
        <v>156</v>
      </c>
      <c r="I236">
        <v>56165</v>
      </c>
      <c r="J236">
        <v>52431</v>
      </c>
      <c r="K236">
        <v>173</v>
      </c>
      <c r="L236" s="8">
        <v>8.9237069349238807E-2</v>
      </c>
      <c r="M236" t="s">
        <v>39</v>
      </c>
      <c r="N236" t="s">
        <v>18</v>
      </c>
    </row>
    <row r="237" spans="1:14">
      <c r="A237" t="s">
        <v>234</v>
      </c>
      <c r="B237" t="s">
        <v>24</v>
      </c>
      <c r="C237" s="7">
        <v>45422</v>
      </c>
      <c r="D237" t="s">
        <v>25</v>
      </c>
      <c r="E237" t="s">
        <v>20</v>
      </c>
      <c r="F237">
        <v>2784</v>
      </c>
      <c r="G237">
        <v>111</v>
      </c>
      <c r="H237">
        <v>399</v>
      </c>
      <c r="I237">
        <v>58366</v>
      </c>
      <c r="J237">
        <v>69512</v>
      </c>
      <c r="K237">
        <v>269</v>
      </c>
      <c r="L237" s="8">
        <v>5.6436966727204198E-2</v>
      </c>
      <c r="M237" t="s">
        <v>27</v>
      </c>
      <c r="N237" t="s">
        <v>18</v>
      </c>
    </row>
    <row r="238" spans="1:14">
      <c r="A238" t="s">
        <v>238</v>
      </c>
      <c r="B238" t="s">
        <v>24</v>
      </c>
      <c r="C238" s="7">
        <v>45689</v>
      </c>
      <c r="D238" t="s">
        <v>25</v>
      </c>
      <c r="E238" t="s">
        <v>41</v>
      </c>
      <c r="F238">
        <v>1079</v>
      </c>
      <c r="G238">
        <v>265</v>
      </c>
      <c r="H238">
        <v>190</v>
      </c>
      <c r="I238">
        <v>43786</v>
      </c>
      <c r="J238">
        <v>72428</v>
      </c>
      <c r="K238">
        <v>222</v>
      </c>
      <c r="L238" s="8">
        <v>3.5034029141734799E-2</v>
      </c>
      <c r="M238" t="s">
        <v>17</v>
      </c>
      <c r="N238" t="s">
        <v>18</v>
      </c>
    </row>
    <row r="239" spans="1:14">
      <c r="A239" t="s">
        <v>239</v>
      </c>
      <c r="B239" t="s">
        <v>24</v>
      </c>
      <c r="C239" s="7">
        <v>45484</v>
      </c>
      <c r="D239" t="s">
        <v>25</v>
      </c>
      <c r="E239" t="s">
        <v>37</v>
      </c>
      <c r="F239">
        <v>4247</v>
      </c>
      <c r="G239">
        <v>179</v>
      </c>
      <c r="H239">
        <v>175</v>
      </c>
      <c r="I239">
        <v>32991</v>
      </c>
      <c r="J239">
        <v>70120</v>
      </c>
      <c r="K239">
        <v>276</v>
      </c>
      <c r="L239" s="8">
        <v>0.139462277590858</v>
      </c>
      <c r="M239" t="s">
        <v>17</v>
      </c>
      <c r="N239" t="s">
        <v>18</v>
      </c>
    </row>
    <row r="240" spans="1:14">
      <c r="A240" t="s">
        <v>241</v>
      </c>
      <c r="B240" t="s">
        <v>24</v>
      </c>
      <c r="C240" s="7">
        <v>45547</v>
      </c>
      <c r="D240" t="s">
        <v>25</v>
      </c>
      <c r="E240" t="s">
        <v>29</v>
      </c>
      <c r="F240">
        <v>1839</v>
      </c>
      <c r="G240">
        <v>223</v>
      </c>
      <c r="H240">
        <v>171</v>
      </c>
      <c r="I240">
        <v>35459</v>
      </c>
      <c r="J240">
        <v>69988</v>
      </c>
      <c r="K240">
        <v>114</v>
      </c>
      <c r="L240" s="8">
        <v>6.2974139146620006E-2</v>
      </c>
      <c r="M240" t="s">
        <v>27</v>
      </c>
      <c r="N240" t="s">
        <v>18</v>
      </c>
    </row>
    <row r="241" spans="1:14">
      <c r="A241" t="s">
        <v>242</v>
      </c>
      <c r="B241" t="s">
        <v>24</v>
      </c>
      <c r="C241" s="7">
        <v>45302</v>
      </c>
      <c r="D241" t="s">
        <v>25</v>
      </c>
      <c r="E241" t="s">
        <v>29</v>
      </c>
      <c r="F241">
        <v>2340</v>
      </c>
      <c r="G241">
        <v>141</v>
      </c>
      <c r="H241">
        <v>206</v>
      </c>
      <c r="I241">
        <v>24916</v>
      </c>
      <c r="J241">
        <v>30582</v>
      </c>
      <c r="K241">
        <v>157</v>
      </c>
      <c r="L241" s="8">
        <v>0.107842350296998</v>
      </c>
      <c r="M241" t="s">
        <v>17</v>
      </c>
      <c r="N241" t="s">
        <v>18</v>
      </c>
    </row>
    <row r="242" spans="1:14">
      <c r="A242" t="s">
        <v>246</v>
      </c>
      <c r="B242" t="s">
        <v>24</v>
      </c>
      <c r="C242" s="7">
        <v>45525</v>
      </c>
      <c r="D242" t="s">
        <v>25</v>
      </c>
      <c r="E242" t="s">
        <v>20</v>
      </c>
      <c r="F242">
        <v>3989</v>
      </c>
      <c r="G242">
        <v>476</v>
      </c>
      <c r="H242">
        <v>128</v>
      </c>
      <c r="I242">
        <v>57569</v>
      </c>
      <c r="J242">
        <v>40193</v>
      </c>
      <c r="K242">
        <v>222</v>
      </c>
      <c r="L242" s="8">
        <v>7.9782521843353202E-2</v>
      </c>
      <c r="M242" t="s">
        <v>39</v>
      </c>
      <c r="N242" t="s">
        <v>18</v>
      </c>
    </row>
    <row r="243" spans="1:14">
      <c r="A243" t="s">
        <v>247</v>
      </c>
      <c r="B243" t="s">
        <v>24</v>
      </c>
      <c r="C243" s="7">
        <v>45387</v>
      </c>
      <c r="D243" t="s">
        <v>25</v>
      </c>
      <c r="E243" t="s">
        <v>29</v>
      </c>
      <c r="F243">
        <v>2857</v>
      </c>
      <c r="G243">
        <v>443</v>
      </c>
      <c r="H243">
        <v>359</v>
      </c>
      <c r="I243">
        <v>51519</v>
      </c>
      <c r="J243">
        <v>28256</v>
      </c>
      <c r="K243">
        <v>155</v>
      </c>
      <c r="L243" s="8">
        <v>7.1022341272151998E-2</v>
      </c>
      <c r="M243" t="s">
        <v>17</v>
      </c>
      <c r="N243" t="s">
        <v>18</v>
      </c>
    </row>
    <row r="244" spans="1:14">
      <c r="A244" t="s">
        <v>249</v>
      </c>
      <c r="B244" t="s">
        <v>24</v>
      </c>
      <c r="C244" s="7">
        <v>45492</v>
      </c>
      <c r="D244" t="s">
        <v>25</v>
      </c>
      <c r="E244" t="s">
        <v>35</v>
      </c>
      <c r="F244">
        <v>3071</v>
      </c>
      <c r="G244">
        <v>126</v>
      </c>
      <c r="H244">
        <v>200</v>
      </c>
      <c r="I244">
        <v>44013</v>
      </c>
      <c r="J244">
        <v>44679</v>
      </c>
      <c r="K244">
        <v>118</v>
      </c>
      <c r="L244" s="8">
        <v>7.7181741758116901E-2</v>
      </c>
      <c r="M244" t="s">
        <v>39</v>
      </c>
      <c r="N244" t="s">
        <v>18</v>
      </c>
    </row>
    <row r="245" spans="1:14">
      <c r="A245" t="s">
        <v>250</v>
      </c>
      <c r="B245" t="s">
        <v>24</v>
      </c>
      <c r="C245" s="7">
        <v>45780</v>
      </c>
      <c r="D245" t="s">
        <v>25</v>
      </c>
      <c r="E245" t="s">
        <v>41</v>
      </c>
      <c r="F245">
        <v>1010</v>
      </c>
      <c r="G245">
        <v>361</v>
      </c>
      <c r="H245">
        <v>240</v>
      </c>
      <c r="I245">
        <v>47229</v>
      </c>
      <c r="J245">
        <v>72573</v>
      </c>
      <c r="K245">
        <v>275</v>
      </c>
      <c r="L245" s="8">
        <v>3.4110398272248002E-2</v>
      </c>
      <c r="M245" t="s">
        <v>17</v>
      </c>
      <c r="N245" t="s">
        <v>18</v>
      </c>
    </row>
    <row r="246" spans="1:14">
      <c r="A246" t="s">
        <v>251</v>
      </c>
      <c r="B246" t="s">
        <v>24</v>
      </c>
      <c r="C246" s="7">
        <v>45396</v>
      </c>
      <c r="D246" t="s">
        <v>25</v>
      </c>
      <c r="E246" t="s">
        <v>16</v>
      </c>
      <c r="F246">
        <v>1295</v>
      </c>
      <c r="G246">
        <v>153</v>
      </c>
      <c r="H246">
        <v>81</v>
      </c>
      <c r="I246">
        <v>48350</v>
      </c>
      <c r="J246">
        <v>61033</v>
      </c>
      <c r="K246">
        <v>232</v>
      </c>
      <c r="L246" s="8">
        <v>3.1623578076525299E-2</v>
      </c>
      <c r="M246" t="s">
        <v>39</v>
      </c>
      <c r="N246" t="s">
        <v>18</v>
      </c>
    </row>
    <row r="247" spans="1:14">
      <c r="A247" t="s">
        <v>252</v>
      </c>
      <c r="B247" t="s">
        <v>24</v>
      </c>
      <c r="C247" s="7">
        <v>45827</v>
      </c>
      <c r="D247" t="s">
        <v>25</v>
      </c>
      <c r="E247" t="s">
        <v>35</v>
      </c>
      <c r="F247">
        <v>1433</v>
      </c>
      <c r="G247">
        <v>452</v>
      </c>
      <c r="H247">
        <v>305</v>
      </c>
      <c r="I247">
        <v>54541</v>
      </c>
      <c r="J247">
        <v>63700</v>
      </c>
      <c r="K247">
        <v>296</v>
      </c>
      <c r="L247" s="8">
        <v>4.0153279184466699E-2</v>
      </c>
      <c r="M247" t="s">
        <v>39</v>
      </c>
      <c r="N247" t="s">
        <v>18</v>
      </c>
    </row>
    <row r="248" spans="1:14">
      <c r="A248" t="s">
        <v>258</v>
      </c>
      <c r="B248" t="s">
        <v>24</v>
      </c>
      <c r="C248" s="7">
        <v>45579</v>
      </c>
      <c r="D248" t="s">
        <v>25</v>
      </c>
      <c r="E248" t="s">
        <v>20</v>
      </c>
      <c r="F248">
        <v>4303</v>
      </c>
      <c r="G248">
        <v>306</v>
      </c>
      <c r="H248">
        <v>302</v>
      </c>
      <c r="I248">
        <v>39575</v>
      </c>
      <c r="J248">
        <v>33762</v>
      </c>
      <c r="K248">
        <v>265</v>
      </c>
      <c r="L248" s="8">
        <v>0.12409349336702501</v>
      </c>
      <c r="M248" t="s">
        <v>39</v>
      </c>
      <c r="N248" t="s">
        <v>18</v>
      </c>
    </row>
    <row r="249" spans="1:14">
      <c r="A249" t="s">
        <v>261</v>
      </c>
      <c r="B249" t="s">
        <v>24</v>
      </c>
      <c r="C249" s="7">
        <v>45786</v>
      </c>
      <c r="D249" t="s">
        <v>25</v>
      </c>
      <c r="E249" t="s">
        <v>32</v>
      </c>
      <c r="F249">
        <v>2778</v>
      </c>
      <c r="G249">
        <v>241</v>
      </c>
      <c r="H249">
        <v>317</v>
      </c>
      <c r="I249">
        <v>26247</v>
      </c>
      <c r="J249">
        <v>20677</v>
      </c>
      <c r="K249">
        <v>282</v>
      </c>
      <c r="L249" s="8">
        <v>0.127100240027432</v>
      </c>
      <c r="M249" t="s">
        <v>27</v>
      </c>
      <c r="N249" t="s">
        <v>18</v>
      </c>
    </row>
    <row r="250" spans="1:14">
      <c r="A250" t="s">
        <v>266</v>
      </c>
      <c r="B250" t="s">
        <v>24</v>
      </c>
      <c r="C250" s="7">
        <v>45308</v>
      </c>
      <c r="D250" t="s">
        <v>25</v>
      </c>
      <c r="E250" t="s">
        <v>26</v>
      </c>
      <c r="F250">
        <v>2174</v>
      </c>
      <c r="G250">
        <v>499</v>
      </c>
      <c r="H250">
        <v>212</v>
      </c>
      <c r="I250">
        <v>54938</v>
      </c>
      <c r="J250">
        <v>27190</v>
      </c>
      <c r="K250">
        <v>265</v>
      </c>
      <c r="L250" s="8">
        <v>5.2513742764570999E-2</v>
      </c>
      <c r="M250" t="s">
        <v>27</v>
      </c>
      <c r="N250" t="s">
        <v>18</v>
      </c>
    </row>
    <row r="251" spans="1:14">
      <c r="A251" t="s">
        <v>279</v>
      </c>
      <c r="B251" t="s">
        <v>24</v>
      </c>
      <c r="C251" s="7">
        <v>45639</v>
      </c>
      <c r="D251" t="s">
        <v>25</v>
      </c>
      <c r="E251" t="s">
        <v>26</v>
      </c>
      <c r="F251">
        <v>4984</v>
      </c>
      <c r="G251">
        <v>300</v>
      </c>
      <c r="H251">
        <v>338</v>
      </c>
      <c r="I251">
        <v>32900</v>
      </c>
      <c r="J251">
        <v>31691</v>
      </c>
      <c r="K251">
        <v>160</v>
      </c>
      <c r="L251" s="8">
        <v>0.17088145896656501</v>
      </c>
      <c r="M251" t="s">
        <v>27</v>
      </c>
      <c r="N251" t="s">
        <v>18</v>
      </c>
    </row>
    <row r="252" spans="1:14">
      <c r="A252" t="s">
        <v>282</v>
      </c>
      <c r="B252" t="s">
        <v>24</v>
      </c>
      <c r="C252" s="7">
        <v>45759</v>
      </c>
      <c r="D252" t="s">
        <v>25</v>
      </c>
      <c r="E252" t="s">
        <v>49</v>
      </c>
      <c r="F252">
        <v>4315</v>
      </c>
      <c r="G252">
        <v>208</v>
      </c>
      <c r="H252">
        <v>273</v>
      </c>
      <c r="I252">
        <v>35780</v>
      </c>
      <c r="J252">
        <v>44349</v>
      </c>
      <c r="K252">
        <v>133</v>
      </c>
      <c r="L252" s="8">
        <v>0.13404136389044199</v>
      </c>
      <c r="M252" t="s">
        <v>39</v>
      </c>
      <c r="N252" t="s">
        <v>18</v>
      </c>
    </row>
    <row r="253" spans="1:14">
      <c r="A253" t="s">
        <v>283</v>
      </c>
      <c r="B253" t="s">
        <v>24</v>
      </c>
      <c r="C253" s="7">
        <v>45636</v>
      </c>
      <c r="D253" t="s">
        <v>25</v>
      </c>
      <c r="E253" t="s">
        <v>29</v>
      </c>
      <c r="F253">
        <v>2267</v>
      </c>
      <c r="G253">
        <v>230</v>
      </c>
      <c r="H253">
        <v>243</v>
      </c>
      <c r="I253">
        <v>27904</v>
      </c>
      <c r="J253">
        <v>69771</v>
      </c>
      <c r="K253">
        <v>255</v>
      </c>
      <c r="L253" s="8">
        <v>9.8193807339449601E-2</v>
      </c>
      <c r="M253" t="s">
        <v>39</v>
      </c>
      <c r="N253" t="s">
        <v>18</v>
      </c>
    </row>
    <row r="254" spans="1:14">
      <c r="A254" t="s">
        <v>285</v>
      </c>
      <c r="B254" t="s">
        <v>24</v>
      </c>
      <c r="C254" s="7">
        <v>45666</v>
      </c>
      <c r="D254" t="s">
        <v>25</v>
      </c>
      <c r="E254" t="s">
        <v>51</v>
      </c>
      <c r="F254">
        <v>3817</v>
      </c>
      <c r="G254">
        <v>284</v>
      </c>
      <c r="H254">
        <v>204</v>
      </c>
      <c r="I254">
        <v>46434</v>
      </c>
      <c r="J254">
        <v>53396</v>
      </c>
      <c r="K254">
        <v>104</v>
      </c>
      <c r="L254" s="8">
        <v>9.2712236723090799E-2</v>
      </c>
      <c r="M254" t="s">
        <v>27</v>
      </c>
      <c r="N254" t="s">
        <v>18</v>
      </c>
    </row>
    <row r="255" spans="1:14">
      <c r="A255" t="s">
        <v>286</v>
      </c>
      <c r="B255" t="s">
        <v>24</v>
      </c>
      <c r="C255" s="7">
        <v>45481</v>
      </c>
      <c r="D255" t="s">
        <v>25</v>
      </c>
      <c r="E255" t="s">
        <v>41</v>
      </c>
      <c r="F255">
        <v>2981</v>
      </c>
      <c r="G255">
        <v>258</v>
      </c>
      <c r="H255">
        <v>168</v>
      </c>
      <c r="I255">
        <v>20677</v>
      </c>
      <c r="J255">
        <v>68290</v>
      </c>
      <c r="K255">
        <v>130</v>
      </c>
      <c r="L255" s="8">
        <v>0.164772452483436</v>
      </c>
      <c r="M255" t="s">
        <v>17</v>
      </c>
      <c r="N255" t="s">
        <v>18</v>
      </c>
    </row>
    <row r="256" spans="1:14">
      <c r="A256" t="s">
        <v>287</v>
      </c>
      <c r="B256" t="s">
        <v>24</v>
      </c>
      <c r="C256" s="7">
        <v>45551</v>
      </c>
      <c r="D256" t="s">
        <v>25</v>
      </c>
      <c r="E256" t="s">
        <v>51</v>
      </c>
      <c r="F256">
        <v>3300</v>
      </c>
      <c r="G256">
        <v>354</v>
      </c>
      <c r="H256">
        <v>397</v>
      </c>
      <c r="I256">
        <v>56773</v>
      </c>
      <c r="J256">
        <v>72110</v>
      </c>
      <c r="K256">
        <v>163</v>
      </c>
      <c r="L256" s="8">
        <v>7.1354340971940905E-2</v>
      </c>
      <c r="M256" t="s">
        <v>39</v>
      </c>
      <c r="N256" t="s">
        <v>18</v>
      </c>
    </row>
    <row r="257" spans="1:14">
      <c r="A257" t="s">
        <v>295</v>
      </c>
      <c r="B257" t="s">
        <v>24</v>
      </c>
      <c r="C257" s="7">
        <v>45385</v>
      </c>
      <c r="D257" t="s">
        <v>25</v>
      </c>
      <c r="E257" t="s">
        <v>41</v>
      </c>
      <c r="F257">
        <v>2291</v>
      </c>
      <c r="G257">
        <v>146</v>
      </c>
      <c r="H257">
        <v>399</v>
      </c>
      <c r="I257">
        <v>49319</v>
      </c>
      <c r="J257">
        <v>28056</v>
      </c>
      <c r="K257">
        <v>90</v>
      </c>
      <c r="L257" s="8">
        <v>5.7503193495407397E-2</v>
      </c>
      <c r="M257" t="s">
        <v>39</v>
      </c>
      <c r="N257" t="s">
        <v>18</v>
      </c>
    </row>
    <row r="258" spans="1:14">
      <c r="A258" t="s">
        <v>296</v>
      </c>
      <c r="B258" t="s">
        <v>24</v>
      </c>
      <c r="C258" s="7">
        <v>45481</v>
      </c>
      <c r="D258" t="s">
        <v>25</v>
      </c>
      <c r="E258" t="s">
        <v>29</v>
      </c>
      <c r="F258">
        <v>2304</v>
      </c>
      <c r="G258">
        <v>289</v>
      </c>
      <c r="H258">
        <v>161</v>
      </c>
      <c r="I258">
        <v>52645</v>
      </c>
      <c r="J258">
        <v>66262</v>
      </c>
      <c r="K258">
        <v>146</v>
      </c>
      <c r="L258" s="8">
        <v>5.2312660271630701E-2</v>
      </c>
      <c r="M258" t="s">
        <v>27</v>
      </c>
      <c r="N258" t="s">
        <v>18</v>
      </c>
    </row>
    <row r="259" spans="1:14">
      <c r="A259" t="s">
        <v>297</v>
      </c>
      <c r="B259" t="s">
        <v>24</v>
      </c>
      <c r="C259" s="7">
        <v>45451</v>
      </c>
      <c r="D259" t="s">
        <v>25</v>
      </c>
      <c r="E259" t="s">
        <v>41</v>
      </c>
      <c r="F259">
        <v>3413</v>
      </c>
      <c r="G259">
        <v>326</v>
      </c>
      <c r="H259">
        <v>86</v>
      </c>
      <c r="I259">
        <v>44680</v>
      </c>
      <c r="J259">
        <v>52719</v>
      </c>
      <c r="K259">
        <v>272</v>
      </c>
      <c r="L259" s="8">
        <v>8.5608773500447599E-2</v>
      </c>
      <c r="M259" t="s">
        <v>39</v>
      </c>
      <c r="N259" t="s">
        <v>18</v>
      </c>
    </row>
    <row r="260" spans="1:14">
      <c r="A260" t="s">
        <v>299</v>
      </c>
      <c r="B260" t="s">
        <v>24</v>
      </c>
      <c r="C260" s="7">
        <v>45676</v>
      </c>
      <c r="D260" t="s">
        <v>25</v>
      </c>
      <c r="E260" t="s">
        <v>32</v>
      </c>
      <c r="F260">
        <v>1651</v>
      </c>
      <c r="G260">
        <v>480</v>
      </c>
      <c r="H260">
        <v>282</v>
      </c>
      <c r="I260">
        <v>32140</v>
      </c>
      <c r="J260">
        <v>70560</v>
      </c>
      <c r="K260">
        <v>138</v>
      </c>
      <c r="L260" s="8">
        <v>7.5077784691972599E-2</v>
      </c>
      <c r="M260" t="s">
        <v>17</v>
      </c>
      <c r="N260" t="s">
        <v>18</v>
      </c>
    </row>
    <row r="261" spans="1:14">
      <c r="A261" t="s">
        <v>300</v>
      </c>
      <c r="B261" t="s">
        <v>24</v>
      </c>
      <c r="C261" s="7">
        <v>45662</v>
      </c>
      <c r="D261" t="s">
        <v>25</v>
      </c>
      <c r="E261" t="s">
        <v>20</v>
      </c>
      <c r="F261">
        <v>3341</v>
      </c>
      <c r="G261">
        <v>154</v>
      </c>
      <c r="H261">
        <v>123</v>
      </c>
      <c r="I261">
        <v>43369</v>
      </c>
      <c r="J261">
        <v>49035</v>
      </c>
      <c r="K261">
        <v>128</v>
      </c>
      <c r="L261" s="8">
        <v>8.3423643616408E-2</v>
      </c>
      <c r="M261" t="s">
        <v>27</v>
      </c>
      <c r="N261" t="s">
        <v>18</v>
      </c>
    </row>
    <row r="262" spans="1:14">
      <c r="A262" t="s">
        <v>302</v>
      </c>
      <c r="B262" t="s">
        <v>24</v>
      </c>
      <c r="C262" s="7">
        <v>45626</v>
      </c>
      <c r="D262" t="s">
        <v>25</v>
      </c>
      <c r="E262" t="s">
        <v>20</v>
      </c>
      <c r="F262">
        <v>4963</v>
      </c>
      <c r="G262">
        <v>255</v>
      </c>
      <c r="H262">
        <v>193</v>
      </c>
      <c r="I262">
        <v>44386</v>
      </c>
      <c r="J262">
        <v>28415</v>
      </c>
      <c r="K262">
        <v>174</v>
      </c>
      <c r="L262" s="8">
        <v>0.121907808768531</v>
      </c>
      <c r="M262" t="s">
        <v>27</v>
      </c>
      <c r="N262" t="s">
        <v>18</v>
      </c>
    </row>
    <row r="263" spans="1:14">
      <c r="A263" t="s">
        <v>305</v>
      </c>
      <c r="B263" t="s">
        <v>24</v>
      </c>
      <c r="C263" s="7">
        <v>45825</v>
      </c>
      <c r="D263" t="s">
        <v>25</v>
      </c>
      <c r="E263" t="s">
        <v>20</v>
      </c>
      <c r="F263">
        <v>4341</v>
      </c>
      <c r="G263">
        <v>141</v>
      </c>
      <c r="H263">
        <v>63</v>
      </c>
      <c r="I263">
        <v>50081</v>
      </c>
      <c r="J263">
        <v>27507</v>
      </c>
      <c r="K263">
        <v>221</v>
      </c>
      <c r="L263" s="8">
        <v>9.0752980172121203E-2</v>
      </c>
      <c r="M263" t="s">
        <v>39</v>
      </c>
      <c r="N263" t="s">
        <v>18</v>
      </c>
    </row>
    <row r="264" spans="1:14">
      <c r="A264" t="s">
        <v>310</v>
      </c>
      <c r="B264" t="s">
        <v>24</v>
      </c>
      <c r="C264" s="7">
        <v>45609</v>
      </c>
      <c r="D264" t="s">
        <v>25</v>
      </c>
      <c r="E264" t="s">
        <v>26</v>
      </c>
      <c r="F264">
        <v>1409</v>
      </c>
      <c r="G264">
        <v>466</v>
      </c>
      <c r="H264">
        <v>105</v>
      </c>
      <c r="I264">
        <v>58923</v>
      </c>
      <c r="J264">
        <v>38753</v>
      </c>
      <c r="K264">
        <v>265</v>
      </c>
      <c r="L264" s="8">
        <v>3.3603177027646203E-2</v>
      </c>
      <c r="M264" t="s">
        <v>39</v>
      </c>
      <c r="N264" t="s">
        <v>18</v>
      </c>
    </row>
    <row r="265" spans="1:14">
      <c r="A265" t="s">
        <v>311</v>
      </c>
      <c r="B265" t="s">
        <v>24</v>
      </c>
      <c r="C265" s="7">
        <v>45693</v>
      </c>
      <c r="D265" t="s">
        <v>25</v>
      </c>
      <c r="E265" t="s">
        <v>16</v>
      </c>
      <c r="F265">
        <v>3029</v>
      </c>
      <c r="G265">
        <v>440</v>
      </c>
      <c r="H265">
        <v>66</v>
      </c>
      <c r="I265">
        <v>23815</v>
      </c>
      <c r="J265">
        <v>47895</v>
      </c>
      <c r="K265">
        <v>210</v>
      </c>
      <c r="L265" s="8">
        <v>0.14843585975225701</v>
      </c>
      <c r="M265" t="s">
        <v>39</v>
      </c>
      <c r="N265" t="s">
        <v>18</v>
      </c>
    </row>
    <row r="266" spans="1:14">
      <c r="A266" t="s">
        <v>319</v>
      </c>
      <c r="B266" t="s">
        <v>24</v>
      </c>
      <c r="C266" s="7">
        <v>45676</v>
      </c>
      <c r="D266" t="s">
        <v>25</v>
      </c>
      <c r="E266" t="s">
        <v>26</v>
      </c>
      <c r="F266">
        <v>3507</v>
      </c>
      <c r="G266">
        <v>295</v>
      </c>
      <c r="H266">
        <v>371</v>
      </c>
      <c r="I266">
        <v>20410</v>
      </c>
      <c r="J266">
        <v>53965</v>
      </c>
      <c r="K266">
        <v>212</v>
      </c>
      <c r="L266" s="8">
        <v>0.20445859872611499</v>
      </c>
      <c r="M266" t="s">
        <v>17</v>
      </c>
      <c r="N266" t="s">
        <v>18</v>
      </c>
    </row>
    <row r="267" spans="1:14">
      <c r="A267" t="s">
        <v>320</v>
      </c>
      <c r="B267" t="s">
        <v>24</v>
      </c>
      <c r="C267" s="7">
        <v>45563</v>
      </c>
      <c r="D267" t="s">
        <v>25</v>
      </c>
      <c r="E267" t="s">
        <v>29</v>
      </c>
      <c r="F267">
        <v>4471</v>
      </c>
      <c r="G267">
        <v>317</v>
      </c>
      <c r="H267">
        <v>249</v>
      </c>
      <c r="I267">
        <v>44862</v>
      </c>
      <c r="J267">
        <v>33365</v>
      </c>
      <c r="K267">
        <v>184</v>
      </c>
      <c r="L267" s="8">
        <v>0.11227765146449099</v>
      </c>
      <c r="M267" t="s">
        <v>39</v>
      </c>
      <c r="N267" t="s">
        <v>18</v>
      </c>
    </row>
    <row r="268" spans="1:14">
      <c r="A268" t="s">
        <v>322</v>
      </c>
      <c r="B268" t="s">
        <v>24</v>
      </c>
      <c r="C268" s="7">
        <v>45343</v>
      </c>
      <c r="D268" t="s">
        <v>25</v>
      </c>
      <c r="E268" t="s">
        <v>37</v>
      </c>
      <c r="F268">
        <v>2604</v>
      </c>
      <c r="G268">
        <v>439</v>
      </c>
      <c r="H268">
        <v>148</v>
      </c>
      <c r="I268">
        <v>58468</v>
      </c>
      <c r="J268">
        <v>39629</v>
      </c>
      <c r="K268">
        <v>163</v>
      </c>
      <c r="L268" s="8">
        <v>5.4576862557296303E-2</v>
      </c>
      <c r="M268" t="s">
        <v>27</v>
      </c>
      <c r="N268" t="s">
        <v>18</v>
      </c>
    </row>
    <row r="269" spans="1:14">
      <c r="A269" t="s">
        <v>328</v>
      </c>
      <c r="B269" t="s">
        <v>24</v>
      </c>
      <c r="C269" s="7">
        <v>45513</v>
      </c>
      <c r="D269" t="s">
        <v>25</v>
      </c>
      <c r="E269" t="s">
        <v>49</v>
      </c>
      <c r="F269">
        <v>4877</v>
      </c>
      <c r="G269">
        <v>442</v>
      </c>
      <c r="H269">
        <v>236</v>
      </c>
      <c r="I269">
        <v>52673</v>
      </c>
      <c r="J269">
        <v>48241</v>
      </c>
      <c r="K269">
        <v>114</v>
      </c>
      <c r="L269" s="8">
        <v>0.10546200140489401</v>
      </c>
      <c r="M269" t="s">
        <v>39</v>
      </c>
      <c r="N269" t="s">
        <v>18</v>
      </c>
    </row>
    <row r="270" spans="1:14">
      <c r="A270" t="s">
        <v>332</v>
      </c>
      <c r="B270" t="s">
        <v>24</v>
      </c>
      <c r="C270" s="7">
        <v>45599</v>
      </c>
      <c r="D270" t="s">
        <v>25</v>
      </c>
      <c r="E270" t="s">
        <v>20</v>
      </c>
      <c r="F270">
        <v>3061</v>
      </c>
      <c r="G270">
        <v>320</v>
      </c>
      <c r="H270">
        <v>76</v>
      </c>
      <c r="I270">
        <v>26640</v>
      </c>
      <c r="J270">
        <v>24306</v>
      </c>
      <c r="K270">
        <v>112</v>
      </c>
      <c r="L270" s="8">
        <v>0.12976726726726701</v>
      </c>
      <c r="M270" t="s">
        <v>27</v>
      </c>
      <c r="N270" t="s">
        <v>18</v>
      </c>
    </row>
    <row r="271" spans="1:14">
      <c r="A271" t="s">
        <v>336</v>
      </c>
      <c r="B271" t="s">
        <v>24</v>
      </c>
      <c r="C271" s="7">
        <v>45736</v>
      </c>
      <c r="D271" t="s">
        <v>25</v>
      </c>
      <c r="E271" t="s">
        <v>51</v>
      </c>
      <c r="F271">
        <v>3393</v>
      </c>
      <c r="G271">
        <v>104</v>
      </c>
      <c r="H271">
        <v>79</v>
      </c>
      <c r="I271">
        <v>30025</v>
      </c>
      <c r="J271">
        <v>21593</v>
      </c>
      <c r="K271">
        <v>165</v>
      </c>
      <c r="L271" s="8">
        <v>0.11910074937552</v>
      </c>
      <c r="M271" t="s">
        <v>27</v>
      </c>
      <c r="N271" t="s">
        <v>18</v>
      </c>
    </row>
    <row r="272" spans="1:14">
      <c r="A272" t="s">
        <v>339</v>
      </c>
      <c r="B272" t="s">
        <v>24</v>
      </c>
      <c r="C272" s="7">
        <v>45303</v>
      </c>
      <c r="D272" t="s">
        <v>25</v>
      </c>
      <c r="E272" t="s">
        <v>29</v>
      </c>
      <c r="F272">
        <v>2227</v>
      </c>
      <c r="G272">
        <v>494</v>
      </c>
      <c r="H272">
        <v>161</v>
      </c>
      <c r="I272">
        <v>51651</v>
      </c>
      <c r="J272">
        <v>68074</v>
      </c>
      <c r="K272">
        <v>240</v>
      </c>
      <c r="L272" s="8">
        <v>5.5797564422760397E-2</v>
      </c>
      <c r="M272" t="s">
        <v>39</v>
      </c>
      <c r="N272" t="s">
        <v>18</v>
      </c>
    </row>
    <row r="273" spans="1:14">
      <c r="A273" t="s">
        <v>56</v>
      </c>
      <c r="B273" t="s">
        <v>31</v>
      </c>
      <c r="C273" s="7">
        <v>45458</v>
      </c>
      <c r="D273" t="s">
        <v>57</v>
      </c>
      <c r="E273" t="s">
        <v>37</v>
      </c>
      <c r="F273">
        <v>1751</v>
      </c>
      <c r="G273">
        <v>143</v>
      </c>
      <c r="H273">
        <v>151</v>
      </c>
      <c r="I273">
        <v>31826</v>
      </c>
      <c r="J273">
        <v>47729</v>
      </c>
      <c r="K273">
        <v>95</v>
      </c>
      <c r="L273" s="8">
        <v>6.4255640042732404E-2</v>
      </c>
      <c r="M273" t="s">
        <v>58</v>
      </c>
      <c r="N273" t="s">
        <v>59</v>
      </c>
    </row>
    <row r="274" spans="1:14">
      <c r="A274" t="s">
        <v>63</v>
      </c>
      <c r="B274" t="s">
        <v>31</v>
      </c>
      <c r="C274" s="7">
        <v>45452</v>
      </c>
      <c r="D274" t="s">
        <v>57</v>
      </c>
      <c r="E274" t="s">
        <v>49</v>
      </c>
      <c r="F274">
        <v>2786</v>
      </c>
      <c r="G274">
        <v>368</v>
      </c>
      <c r="H274">
        <v>208</v>
      </c>
      <c r="I274">
        <v>42000</v>
      </c>
      <c r="J274">
        <v>39967</v>
      </c>
      <c r="K274">
        <v>103</v>
      </c>
      <c r="L274" s="8">
        <v>8.0047619047619006E-2</v>
      </c>
      <c r="M274" t="s">
        <v>58</v>
      </c>
      <c r="N274" t="s">
        <v>59</v>
      </c>
    </row>
    <row r="275" spans="1:14">
      <c r="A275" t="s">
        <v>65</v>
      </c>
      <c r="B275" t="s">
        <v>31</v>
      </c>
      <c r="C275" s="7">
        <v>45575</v>
      </c>
      <c r="D275" t="s">
        <v>57</v>
      </c>
      <c r="E275" t="s">
        <v>49</v>
      </c>
      <c r="F275">
        <v>4013</v>
      </c>
      <c r="G275">
        <v>320</v>
      </c>
      <c r="H275">
        <v>92</v>
      </c>
      <c r="I275">
        <v>54605</v>
      </c>
      <c r="J275">
        <v>60169</v>
      </c>
      <c r="K275">
        <v>232</v>
      </c>
      <c r="L275" s="8">
        <v>8.1036535115831906E-2</v>
      </c>
      <c r="M275" t="s">
        <v>58</v>
      </c>
      <c r="N275" t="s">
        <v>59</v>
      </c>
    </row>
    <row r="276" spans="1:14">
      <c r="A276" t="s">
        <v>68</v>
      </c>
      <c r="B276" t="s">
        <v>31</v>
      </c>
      <c r="C276" s="7">
        <v>45356</v>
      </c>
      <c r="D276" t="s">
        <v>57</v>
      </c>
      <c r="E276" t="s">
        <v>20</v>
      </c>
      <c r="F276">
        <v>3558</v>
      </c>
      <c r="G276">
        <v>314</v>
      </c>
      <c r="H276">
        <v>199</v>
      </c>
      <c r="I276">
        <v>49612</v>
      </c>
      <c r="J276">
        <v>53929</v>
      </c>
      <c r="K276">
        <v>206</v>
      </c>
      <c r="L276" s="8">
        <v>8.2056760461178699E-2</v>
      </c>
      <c r="M276" t="s">
        <v>58</v>
      </c>
      <c r="N276" t="s">
        <v>59</v>
      </c>
    </row>
    <row r="277" spans="1:14">
      <c r="A277" t="s">
        <v>87</v>
      </c>
      <c r="B277" t="s">
        <v>31</v>
      </c>
      <c r="C277" s="7">
        <v>45365</v>
      </c>
      <c r="D277" t="s">
        <v>57</v>
      </c>
      <c r="E277" t="s">
        <v>49</v>
      </c>
      <c r="F277">
        <v>3361</v>
      </c>
      <c r="G277">
        <v>188</v>
      </c>
      <c r="H277">
        <v>358</v>
      </c>
      <c r="I277">
        <v>39838</v>
      </c>
      <c r="J277">
        <v>24536</v>
      </c>
      <c r="K277">
        <v>120</v>
      </c>
      <c r="L277" s="8">
        <v>9.8072192379135503E-2</v>
      </c>
      <c r="M277" t="s">
        <v>58</v>
      </c>
      <c r="N277" t="s">
        <v>59</v>
      </c>
    </row>
    <row r="278" spans="1:14">
      <c r="A278" t="s">
        <v>91</v>
      </c>
      <c r="B278" t="s">
        <v>31</v>
      </c>
      <c r="C278" s="7">
        <v>45425</v>
      </c>
      <c r="D278" t="s">
        <v>57</v>
      </c>
      <c r="E278" t="s">
        <v>20</v>
      </c>
      <c r="F278">
        <v>4161</v>
      </c>
      <c r="G278">
        <v>481</v>
      </c>
      <c r="H278">
        <v>61</v>
      </c>
      <c r="I278">
        <v>45884</v>
      </c>
      <c r="J278">
        <v>48955</v>
      </c>
      <c r="K278">
        <v>215</v>
      </c>
      <c r="L278" s="8">
        <v>0.102497602650161</v>
      </c>
      <c r="M278" t="s">
        <v>58</v>
      </c>
      <c r="N278" t="s">
        <v>59</v>
      </c>
    </row>
    <row r="279" spans="1:14">
      <c r="A279" t="s">
        <v>101</v>
      </c>
      <c r="B279" t="s">
        <v>31</v>
      </c>
      <c r="C279" s="7">
        <v>45292</v>
      </c>
      <c r="D279" t="s">
        <v>57</v>
      </c>
      <c r="E279" t="s">
        <v>20</v>
      </c>
      <c r="F279">
        <v>3437</v>
      </c>
      <c r="G279">
        <v>129</v>
      </c>
      <c r="H279">
        <v>359</v>
      </c>
      <c r="I279">
        <v>44558</v>
      </c>
      <c r="J279">
        <v>30854</v>
      </c>
      <c r="K279">
        <v>171</v>
      </c>
      <c r="L279" s="8">
        <v>8.8087436599488297E-2</v>
      </c>
      <c r="M279" t="s">
        <v>58</v>
      </c>
      <c r="N279" t="s">
        <v>59</v>
      </c>
    </row>
    <row r="280" spans="1:14">
      <c r="A280" t="s">
        <v>107</v>
      </c>
      <c r="B280" t="s">
        <v>31</v>
      </c>
      <c r="C280" s="7">
        <v>45384</v>
      </c>
      <c r="D280" t="s">
        <v>57</v>
      </c>
      <c r="E280" t="s">
        <v>51</v>
      </c>
      <c r="F280">
        <v>4563</v>
      </c>
      <c r="G280">
        <v>488</v>
      </c>
      <c r="H280">
        <v>356</v>
      </c>
      <c r="I280">
        <v>30619</v>
      </c>
      <c r="J280">
        <v>23328</v>
      </c>
      <c r="K280">
        <v>267</v>
      </c>
      <c r="L280" s="8">
        <v>0.17658969920637499</v>
      </c>
      <c r="M280" t="s">
        <v>58</v>
      </c>
      <c r="N280" t="s">
        <v>59</v>
      </c>
    </row>
    <row r="281" spans="1:14">
      <c r="A281" t="s">
        <v>113</v>
      </c>
      <c r="B281" t="s">
        <v>31</v>
      </c>
      <c r="C281" s="7">
        <v>45783</v>
      </c>
      <c r="D281" t="s">
        <v>57</v>
      </c>
      <c r="E281" t="s">
        <v>16</v>
      </c>
      <c r="F281">
        <v>1085</v>
      </c>
      <c r="G281">
        <v>496</v>
      </c>
      <c r="H281">
        <v>320</v>
      </c>
      <c r="I281">
        <v>36528</v>
      </c>
      <c r="J281">
        <v>38599</v>
      </c>
      <c r="K281">
        <v>270</v>
      </c>
      <c r="L281" s="8">
        <v>5.2042268944371403E-2</v>
      </c>
      <c r="M281" t="s">
        <v>58</v>
      </c>
      <c r="N281" t="s">
        <v>59</v>
      </c>
    </row>
    <row r="282" spans="1:14">
      <c r="A282" t="s">
        <v>119</v>
      </c>
      <c r="B282" t="s">
        <v>31</v>
      </c>
      <c r="C282" s="7">
        <v>45304</v>
      </c>
      <c r="D282" t="s">
        <v>57</v>
      </c>
      <c r="E282" t="s">
        <v>26</v>
      </c>
      <c r="F282">
        <v>4781</v>
      </c>
      <c r="G282">
        <v>191</v>
      </c>
      <c r="H282">
        <v>122</v>
      </c>
      <c r="I282">
        <v>35535</v>
      </c>
      <c r="J282">
        <v>50777</v>
      </c>
      <c r="K282">
        <v>128</v>
      </c>
      <c r="L282" s="8">
        <v>0.143351625158295</v>
      </c>
      <c r="M282" t="s">
        <v>58</v>
      </c>
      <c r="N282" t="s">
        <v>59</v>
      </c>
    </row>
    <row r="283" spans="1:14">
      <c r="A283" t="s">
        <v>132</v>
      </c>
      <c r="B283" t="s">
        <v>31</v>
      </c>
      <c r="C283" s="7">
        <v>45376</v>
      </c>
      <c r="D283" t="s">
        <v>57</v>
      </c>
      <c r="E283" t="s">
        <v>20</v>
      </c>
      <c r="F283">
        <v>1948</v>
      </c>
      <c r="G283">
        <v>155</v>
      </c>
      <c r="H283">
        <v>315</v>
      </c>
      <c r="I283">
        <v>30321</v>
      </c>
      <c r="J283">
        <v>57121</v>
      </c>
      <c r="K283">
        <v>82</v>
      </c>
      <c r="L283" s="8">
        <v>7.9746710200850904E-2</v>
      </c>
      <c r="M283" t="s">
        <v>58</v>
      </c>
      <c r="N283" t="s">
        <v>59</v>
      </c>
    </row>
    <row r="284" spans="1:14">
      <c r="A284" t="s">
        <v>148</v>
      </c>
      <c r="B284" t="s">
        <v>31</v>
      </c>
      <c r="C284" s="7">
        <v>45542</v>
      </c>
      <c r="D284" t="s">
        <v>57</v>
      </c>
      <c r="E284" t="s">
        <v>32</v>
      </c>
      <c r="F284">
        <v>3882</v>
      </c>
      <c r="G284">
        <v>342</v>
      </c>
      <c r="H284">
        <v>374</v>
      </c>
      <c r="I284">
        <v>41991</v>
      </c>
      <c r="J284">
        <v>48554</v>
      </c>
      <c r="K284">
        <v>118</v>
      </c>
      <c r="L284" s="8">
        <v>0.109499654687909</v>
      </c>
      <c r="M284" t="s">
        <v>58</v>
      </c>
      <c r="N284" t="s">
        <v>59</v>
      </c>
    </row>
    <row r="285" spans="1:14">
      <c r="A285" t="s">
        <v>151</v>
      </c>
      <c r="B285" t="s">
        <v>31</v>
      </c>
      <c r="C285" s="7">
        <v>45493</v>
      </c>
      <c r="D285" t="s">
        <v>57</v>
      </c>
      <c r="E285" t="s">
        <v>32</v>
      </c>
      <c r="F285">
        <v>4955</v>
      </c>
      <c r="G285">
        <v>299</v>
      </c>
      <c r="H285">
        <v>345</v>
      </c>
      <c r="I285">
        <v>33644</v>
      </c>
      <c r="J285">
        <v>43547</v>
      </c>
      <c r="K285">
        <v>194</v>
      </c>
      <c r="L285" s="8">
        <v>0.16641897515158699</v>
      </c>
      <c r="M285" t="s">
        <v>58</v>
      </c>
      <c r="N285" t="s">
        <v>59</v>
      </c>
    </row>
    <row r="286" spans="1:14">
      <c r="A286" t="s">
        <v>181</v>
      </c>
      <c r="B286" t="s">
        <v>31</v>
      </c>
      <c r="C286" s="7">
        <v>45566</v>
      </c>
      <c r="D286" t="s">
        <v>57</v>
      </c>
      <c r="E286" t="s">
        <v>20</v>
      </c>
      <c r="F286">
        <v>3543</v>
      </c>
      <c r="G286">
        <v>334</v>
      </c>
      <c r="H286">
        <v>218</v>
      </c>
      <c r="I286">
        <v>58007</v>
      </c>
      <c r="J286">
        <v>24792</v>
      </c>
      <c r="K286">
        <v>273</v>
      </c>
      <c r="L286" s="8">
        <v>7.0594928198320903E-2</v>
      </c>
      <c r="M286" t="s">
        <v>58</v>
      </c>
      <c r="N286" t="s">
        <v>59</v>
      </c>
    </row>
    <row r="287" spans="1:14">
      <c r="A287" t="s">
        <v>196</v>
      </c>
      <c r="B287" t="s">
        <v>31</v>
      </c>
      <c r="C287" s="7">
        <v>45538</v>
      </c>
      <c r="D287" t="s">
        <v>57</v>
      </c>
      <c r="E287" t="s">
        <v>35</v>
      </c>
      <c r="F287">
        <v>1437</v>
      </c>
      <c r="G287">
        <v>494</v>
      </c>
      <c r="H287">
        <v>129</v>
      </c>
      <c r="I287">
        <v>53048</v>
      </c>
      <c r="J287">
        <v>44090</v>
      </c>
      <c r="K287">
        <v>230</v>
      </c>
      <c r="L287" s="8">
        <v>3.8832755240536899E-2</v>
      </c>
      <c r="M287" t="s">
        <v>58</v>
      </c>
      <c r="N287" t="s">
        <v>59</v>
      </c>
    </row>
    <row r="288" spans="1:14">
      <c r="A288" t="s">
        <v>200</v>
      </c>
      <c r="B288" t="s">
        <v>31</v>
      </c>
      <c r="C288" s="7">
        <v>45330</v>
      </c>
      <c r="D288" t="s">
        <v>57</v>
      </c>
      <c r="E288" t="s">
        <v>41</v>
      </c>
      <c r="F288">
        <v>1889</v>
      </c>
      <c r="G288">
        <v>298</v>
      </c>
      <c r="H288">
        <v>122</v>
      </c>
      <c r="I288">
        <v>46225</v>
      </c>
      <c r="J288">
        <v>74305</v>
      </c>
      <c r="K288">
        <v>293</v>
      </c>
      <c r="L288" s="8">
        <v>4.9951325040562503E-2</v>
      </c>
      <c r="M288" t="s">
        <v>58</v>
      </c>
      <c r="N288" t="s">
        <v>59</v>
      </c>
    </row>
    <row r="289" spans="1:14">
      <c r="A289" t="s">
        <v>203</v>
      </c>
      <c r="B289" t="s">
        <v>31</v>
      </c>
      <c r="C289" s="7">
        <v>45513</v>
      </c>
      <c r="D289" t="s">
        <v>57</v>
      </c>
      <c r="E289" t="s">
        <v>49</v>
      </c>
      <c r="F289">
        <v>3414</v>
      </c>
      <c r="G289">
        <v>154</v>
      </c>
      <c r="H289">
        <v>204</v>
      </c>
      <c r="I289">
        <v>34146</v>
      </c>
      <c r="J289">
        <v>44633</v>
      </c>
      <c r="K289">
        <v>256</v>
      </c>
      <c r="L289" s="8">
        <v>0.11046681895390401</v>
      </c>
      <c r="M289" t="s">
        <v>58</v>
      </c>
      <c r="N289" t="s">
        <v>59</v>
      </c>
    </row>
    <row r="290" spans="1:14">
      <c r="A290" t="s">
        <v>225</v>
      </c>
      <c r="B290" t="s">
        <v>31</v>
      </c>
      <c r="C290" s="7">
        <v>45769</v>
      </c>
      <c r="D290" t="s">
        <v>57</v>
      </c>
      <c r="E290" t="s">
        <v>26</v>
      </c>
      <c r="F290">
        <v>2733</v>
      </c>
      <c r="G290">
        <v>297</v>
      </c>
      <c r="H290">
        <v>235</v>
      </c>
      <c r="I290">
        <v>37980</v>
      </c>
      <c r="J290">
        <v>33058</v>
      </c>
      <c r="K290">
        <v>219</v>
      </c>
      <c r="L290" s="8">
        <v>8.5966298051606105E-2</v>
      </c>
      <c r="M290" t="s">
        <v>58</v>
      </c>
      <c r="N290" t="s">
        <v>59</v>
      </c>
    </row>
    <row r="291" spans="1:14">
      <c r="A291" t="s">
        <v>227</v>
      </c>
      <c r="B291" t="s">
        <v>31</v>
      </c>
      <c r="C291" s="7">
        <v>45795</v>
      </c>
      <c r="D291" t="s">
        <v>57</v>
      </c>
      <c r="E291" t="s">
        <v>29</v>
      </c>
      <c r="F291">
        <v>4210</v>
      </c>
      <c r="G291">
        <v>319</v>
      </c>
      <c r="H291">
        <v>350</v>
      </c>
      <c r="I291">
        <v>37762</v>
      </c>
      <c r="J291">
        <v>55162</v>
      </c>
      <c r="K291">
        <v>204</v>
      </c>
      <c r="L291" s="8">
        <v>0.12920396165457301</v>
      </c>
      <c r="M291" t="s">
        <v>58</v>
      </c>
      <c r="N291" t="s">
        <v>59</v>
      </c>
    </row>
    <row r="292" spans="1:14">
      <c r="A292" t="s">
        <v>229</v>
      </c>
      <c r="B292" t="s">
        <v>31</v>
      </c>
      <c r="C292" s="7">
        <v>45708</v>
      </c>
      <c r="D292" t="s">
        <v>57</v>
      </c>
      <c r="E292" t="s">
        <v>37</v>
      </c>
      <c r="F292">
        <v>4957</v>
      </c>
      <c r="G292">
        <v>262</v>
      </c>
      <c r="H292">
        <v>365</v>
      </c>
      <c r="I292">
        <v>49199</v>
      </c>
      <c r="J292">
        <v>40314</v>
      </c>
      <c r="K292">
        <v>216</v>
      </c>
      <c r="L292" s="8">
        <v>0.113498241834184</v>
      </c>
      <c r="M292" t="s">
        <v>58</v>
      </c>
      <c r="N292" t="s">
        <v>59</v>
      </c>
    </row>
    <row r="293" spans="1:14">
      <c r="A293" t="s">
        <v>231</v>
      </c>
      <c r="B293" t="s">
        <v>31</v>
      </c>
      <c r="C293" s="7">
        <v>45346</v>
      </c>
      <c r="D293" t="s">
        <v>57</v>
      </c>
      <c r="E293" t="s">
        <v>16</v>
      </c>
      <c r="F293">
        <v>4221</v>
      </c>
      <c r="G293">
        <v>307</v>
      </c>
      <c r="H293">
        <v>58</v>
      </c>
      <c r="I293">
        <v>45080</v>
      </c>
      <c r="J293">
        <v>37214</v>
      </c>
      <c r="K293">
        <v>240</v>
      </c>
      <c r="L293" s="8">
        <v>0.101730257320319</v>
      </c>
      <c r="M293" t="s">
        <v>58</v>
      </c>
      <c r="N293" t="s">
        <v>59</v>
      </c>
    </row>
    <row r="294" spans="1:14">
      <c r="A294" t="s">
        <v>233</v>
      </c>
      <c r="B294" t="s">
        <v>31</v>
      </c>
      <c r="C294" s="7">
        <v>45447</v>
      </c>
      <c r="D294" t="s">
        <v>57</v>
      </c>
      <c r="E294" t="s">
        <v>29</v>
      </c>
      <c r="F294">
        <v>1211</v>
      </c>
      <c r="G294">
        <v>431</v>
      </c>
      <c r="H294">
        <v>83</v>
      </c>
      <c r="I294">
        <v>26532</v>
      </c>
      <c r="J294">
        <v>47305</v>
      </c>
      <c r="K294">
        <v>232</v>
      </c>
      <c r="L294" s="8">
        <v>6.5015829941203099E-2</v>
      </c>
      <c r="M294" t="s">
        <v>58</v>
      </c>
      <c r="N294" t="s">
        <v>59</v>
      </c>
    </row>
    <row r="295" spans="1:14">
      <c r="A295" t="s">
        <v>268</v>
      </c>
      <c r="B295" t="s">
        <v>31</v>
      </c>
      <c r="C295" s="7">
        <v>45442</v>
      </c>
      <c r="D295" t="s">
        <v>57</v>
      </c>
      <c r="E295" t="s">
        <v>35</v>
      </c>
      <c r="F295">
        <v>1060</v>
      </c>
      <c r="G295">
        <v>442</v>
      </c>
      <c r="H295">
        <v>319</v>
      </c>
      <c r="I295">
        <v>57194</v>
      </c>
      <c r="J295">
        <v>24258</v>
      </c>
      <c r="K295">
        <v>101</v>
      </c>
      <c r="L295" s="8">
        <v>3.1839004091338302E-2</v>
      </c>
      <c r="M295" t="s">
        <v>58</v>
      </c>
      <c r="N295" t="s">
        <v>59</v>
      </c>
    </row>
    <row r="296" spans="1:14">
      <c r="A296" t="s">
        <v>288</v>
      </c>
      <c r="B296" t="s">
        <v>31</v>
      </c>
      <c r="C296" s="7">
        <v>45457</v>
      </c>
      <c r="D296" t="s">
        <v>57</v>
      </c>
      <c r="E296" t="s">
        <v>29</v>
      </c>
      <c r="F296">
        <v>4722</v>
      </c>
      <c r="G296">
        <v>310</v>
      </c>
      <c r="H296">
        <v>344</v>
      </c>
      <c r="I296">
        <v>27911</v>
      </c>
      <c r="J296">
        <v>19000</v>
      </c>
      <c r="K296">
        <v>225</v>
      </c>
      <c r="L296" s="8">
        <v>0.19261223173659101</v>
      </c>
      <c r="M296" t="s">
        <v>58</v>
      </c>
      <c r="N296" t="s">
        <v>59</v>
      </c>
    </row>
    <row r="297" spans="1:14">
      <c r="A297" t="s">
        <v>298</v>
      </c>
      <c r="B297" t="s">
        <v>31</v>
      </c>
      <c r="C297" s="7">
        <v>45736</v>
      </c>
      <c r="D297" t="s">
        <v>57</v>
      </c>
      <c r="E297" t="s">
        <v>49</v>
      </c>
      <c r="F297">
        <v>1453</v>
      </c>
      <c r="G297">
        <v>156</v>
      </c>
      <c r="H297">
        <v>178</v>
      </c>
      <c r="I297">
        <v>52980</v>
      </c>
      <c r="J297">
        <v>57180</v>
      </c>
      <c r="K297">
        <v>286</v>
      </c>
      <c r="L297" s="8">
        <v>3.3729709324273299E-2</v>
      </c>
      <c r="M297" t="s">
        <v>58</v>
      </c>
      <c r="N297" t="s">
        <v>59</v>
      </c>
    </row>
    <row r="298" spans="1:14">
      <c r="A298" t="s">
        <v>304</v>
      </c>
      <c r="B298" t="s">
        <v>31</v>
      </c>
      <c r="C298" s="7">
        <v>45808</v>
      </c>
      <c r="D298" t="s">
        <v>57</v>
      </c>
      <c r="E298" t="s">
        <v>37</v>
      </c>
      <c r="F298">
        <v>2162</v>
      </c>
      <c r="G298">
        <v>318</v>
      </c>
      <c r="H298">
        <v>83</v>
      </c>
      <c r="I298">
        <v>46719</v>
      </c>
      <c r="J298">
        <v>20482</v>
      </c>
      <c r="K298">
        <v>185</v>
      </c>
      <c r="L298" s="8">
        <v>5.4859907104176001E-2</v>
      </c>
      <c r="M298" t="s">
        <v>58</v>
      </c>
      <c r="N298" t="s">
        <v>59</v>
      </c>
    </row>
    <row r="299" spans="1:14">
      <c r="A299" t="s">
        <v>308</v>
      </c>
      <c r="B299" t="s">
        <v>31</v>
      </c>
      <c r="C299" s="7">
        <v>45368</v>
      </c>
      <c r="D299" t="s">
        <v>57</v>
      </c>
      <c r="E299" t="s">
        <v>20</v>
      </c>
      <c r="F299">
        <v>2692</v>
      </c>
      <c r="G299">
        <v>446</v>
      </c>
      <c r="H299">
        <v>216</v>
      </c>
      <c r="I299">
        <v>45818</v>
      </c>
      <c r="J299">
        <v>62723</v>
      </c>
      <c r="K299">
        <v>85</v>
      </c>
      <c r="L299" s="8">
        <v>7.3202671439172404E-2</v>
      </c>
      <c r="M299" t="s">
        <v>58</v>
      </c>
      <c r="N299" t="s">
        <v>59</v>
      </c>
    </row>
    <row r="300" spans="1:14">
      <c r="A300" t="s">
        <v>309</v>
      </c>
      <c r="B300" t="s">
        <v>31</v>
      </c>
      <c r="C300" s="7">
        <v>45464</v>
      </c>
      <c r="D300" t="s">
        <v>57</v>
      </c>
      <c r="E300" t="s">
        <v>32</v>
      </c>
      <c r="F300">
        <v>4621</v>
      </c>
      <c r="G300">
        <v>374</v>
      </c>
      <c r="H300">
        <v>298</v>
      </c>
      <c r="I300">
        <v>56979</v>
      </c>
      <c r="J300">
        <v>24098</v>
      </c>
      <c r="K300">
        <v>205</v>
      </c>
      <c r="L300" s="8">
        <v>9.2893873181347494E-2</v>
      </c>
      <c r="M300" t="s">
        <v>58</v>
      </c>
      <c r="N300" t="s">
        <v>59</v>
      </c>
    </row>
    <row r="301" spans="1:14">
      <c r="A301" t="s">
        <v>333</v>
      </c>
      <c r="B301" t="s">
        <v>31</v>
      </c>
      <c r="C301" s="7">
        <v>45765</v>
      </c>
      <c r="D301" t="s">
        <v>57</v>
      </c>
      <c r="E301" t="s">
        <v>51</v>
      </c>
      <c r="F301">
        <v>1265</v>
      </c>
      <c r="G301">
        <v>230</v>
      </c>
      <c r="H301">
        <v>364</v>
      </c>
      <c r="I301">
        <v>41312</v>
      </c>
      <c r="J301">
        <v>50382</v>
      </c>
      <c r="K301">
        <v>106</v>
      </c>
      <c r="L301" s="8">
        <v>4.4999031758326903E-2</v>
      </c>
      <c r="M301" t="s">
        <v>58</v>
      </c>
      <c r="N301" t="s">
        <v>59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3F3D9-7DD7-4B19-B8F8-1239D14A45D4}">
  <dimension ref="A1:K25"/>
  <sheetViews>
    <sheetView workbookViewId="0">
      <selection activeCell="B18" sqref="B18"/>
    </sheetView>
  </sheetViews>
  <sheetFormatPr defaultRowHeight="14.4"/>
  <cols>
    <col min="1" max="1" width="17.77734375" bestFit="1" customWidth="1"/>
    <col min="2" max="2" width="16.77734375" customWidth="1"/>
    <col min="3" max="3" width="11.33203125" bestFit="1" customWidth="1"/>
    <col min="4" max="6" width="17.109375" customWidth="1"/>
    <col min="7" max="7" width="15.109375" bestFit="1" customWidth="1"/>
    <col min="8" max="8" width="14.44140625" bestFit="1" customWidth="1"/>
    <col min="9" max="9" width="17.77734375" bestFit="1" customWidth="1"/>
    <col min="10" max="10" width="32.109375" bestFit="1" customWidth="1"/>
  </cols>
  <sheetData>
    <row r="1" spans="1:11">
      <c r="A1" t="s">
        <v>12</v>
      </c>
      <c r="B1" t="s">
        <v>347</v>
      </c>
      <c r="C1" t="s">
        <v>348</v>
      </c>
      <c r="D1" s="20" t="s">
        <v>466</v>
      </c>
      <c r="E1" s="20" t="s">
        <v>467</v>
      </c>
      <c r="F1" s="20" t="s">
        <v>468</v>
      </c>
    </row>
    <row r="2" spans="1:11">
      <c r="A2" t="s">
        <v>59</v>
      </c>
      <c r="B2" s="7">
        <v>45458</v>
      </c>
      <c r="C2" s="7">
        <v>45488</v>
      </c>
      <c r="D2" s="21">
        <f>AVERAGEIFS(task_2_unsplit_dataset[Engagement rate],task_2_unsplit_dataset[Date],"&lt;"&amp;Campaign_Metadata10[[#This Row],[Start_Date]])</f>
        <v>8.7615170421619412E-2</v>
      </c>
      <c r="E2" s="22">
        <f>AVERAGEIFS(task_2_unsplit_dataset[Engagement rate],task_2_unsplit_dataset[Date],"&gt;="&amp;Campaign_Metadata10[[#This Row],[Start_Date]],task_2_unsplit_dataset[Date],"&lt;="&amp;Campaign_Metadata10[[#This Row],[End_Date]])</f>
        <v>9.6749505760713672E-2</v>
      </c>
      <c r="F2" s="24">
        <f>(Campaign_Metadata10[[#This Row],[During Campaigh]]-Campaign_Metadata10[[#This Row],[Before Campaign]])/Campaign_Metadata10[[#This Row],[Before Campaign]]</f>
        <v>0.10425517972673286</v>
      </c>
    </row>
    <row r="3" spans="1:11">
      <c r="A3" t="s">
        <v>55</v>
      </c>
      <c r="B3" s="7">
        <v>45627</v>
      </c>
      <c r="C3" s="7">
        <v>45657</v>
      </c>
      <c r="D3" s="21">
        <f>AVERAGEIFS(task_2_unsplit_dataset[Engagement rate],task_2_unsplit_dataset[Date],"&lt;"&amp;Campaign_Metadata10[[#This Row],[Start_Date]])</f>
        <v>9.013733830016836E-2</v>
      </c>
      <c r="E3" s="22">
        <f>AVERAGEIFS(task_2_unsplit_dataset[Engagement rate],task_2_unsplit_dataset[Date],"&gt;="&amp;Campaign_Metadata10[[#This Row],[Start_Date]],task_2_unsplit_dataset[Date],"&lt;="&amp;Campaign_Metadata10[[#This Row],[End_Date]])</f>
        <v>9.9294724623054276E-2</v>
      </c>
      <c r="F3" s="24">
        <f>(Campaign_Metadata10[[#This Row],[During Campaigh]]-Campaign_Metadata10[[#This Row],[Before Campaign]])/Campaign_Metadata10[[#This Row],[Before Campaign]]</f>
        <v>0.10159370684311422</v>
      </c>
    </row>
    <row r="4" spans="1:11">
      <c r="A4" t="s">
        <v>18</v>
      </c>
      <c r="B4" s="7">
        <v>45667</v>
      </c>
      <c r="C4" s="7">
        <v>45698</v>
      </c>
      <c r="D4" s="21">
        <f>AVERAGEIFS(task_2_unsplit_dataset[Engagement rate],task_2_unsplit_dataset[Date],"&lt;"&amp;Campaign_Metadata10[[#This Row],[Start_Date]])</f>
        <v>9.0969117200630001E-2</v>
      </c>
      <c r="E4" s="22">
        <f>AVERAGEIFS(task_2_unsplit_dataset[Engagement rate],task_2_unsplit_dataset[Date],"&gt;="&amp;Campaign_Metadata10[[#This Row],[Start_Date]],task_2_unsplit_dataset[Date],"&lt;="&amp;Campaign_Metadata10[[#This Row],[End_Date]])</f>
        <v>0.10541160412718444</v>
      </c>
      <c r="F4" s="24">
        <f>(Campaign_Metadata10[[#This Row],[During Campaigh]]-Campaign_Metadata10[[#This Row],[Before Campaign]])/Campaign_Metadata10[[#This Row],[Before Campaign]]</f>
        <v>0.15876252700904978</v>
      </c>
    </row>
    <row r="5" spans="1:11">
      <c r="A5" t="s">
        <v>22</v>
      </c>
      <c r="B5" s="7">
        <v>45717</v>
      </c>
      <c r="C5" s="7">
        <v>45747</v>
      </c>
      <c r="D5" s="21">
        <f>AVERAGEIFS(task_2_unsplit_dataset[Engagement rate],task_2_unsplit_dataset[Date],"&lt;"&amp;Campaign_Metadata10[[#This Row],[Start_Date]])</f>
        <v>9.2816605169476901E-2</v>
      </c>
      <c r="E5" s="22">
        <f>AVERAGEIFS(task_2_unsplit_dataset[Engagement rate],task_2_unsplit_dataset[Date],"&gt;="&amp;Campaign_Metadata10[[#This Row],[Start_Date]],task_2_unsplit_dataset[Date],"&lt;="&amp;Campaign_Metadata10[[#This Row],[End_Date]])</f>
        <v>0.102645457564738</v>
      </c>
      <c r="F5" s="24">
        <f>(Campaign_Metadata10[[#This Row],[During Campaigh]]-Campaign_Metadata10[[#This Row],[Before Campaign]])/Campaign_Metadata10[[#This Row],[Before Campaign]]</f>
        <v>0.10589540931080463</v>
      </c>
    </row>
    <row r="6" spans="1:11">
      <c r="E6" s="23"/>
      <c r="F6" s="25"/>
    </row>
    <row r="9" spans="1:11" ht="15.6">
      <c r="A9" s="40" t="s">
        <v>482</v>
      </c>
    </row>
    <row r="10" spans="1:11">
      <c r="A10" s="15" t="s">
        <v>12</v>
      </c>
      <c r="B10" s="15" t="s">
        <v>341</v>
      </c>
      <c r="C10" s="16" t="s">
        <v>1</v>
      </c>
      <c r="D10" s="16" t="s">
        <v>342</v>
      </c>
      <c r="E10" s="16" t="s">
        <v>343</v>
      </c>
      <c r="F10" s="16" t="s">
        <v>344</v>
      </c>
      <c r="G10" s="16" t="s">
        <v>469</v>
      </c>
      <c r="H10" s="16" t="s">
        <v>470</v>
      </c>
      <c r="I10" s="16" t="s">
        <v>471</v>
      </c>
      <c r="J10" s="16" t="s">
        <v>345</v>
      </c>
      <c r="K10" s="17" t="s">
        <v>346</v>
      </c>
    </row>
    <row r="11" spans="1:11">
      <c r="A11" s="34" t="s">
        <v>18</v>
      </c>
      <c r="B11" s="26">
        <v>45698</v>
      </c>
      <c r="C11" s="18" t="s">
        <v>24</v>
      </c>
      <c r="D11" s="18">
        <v>1270</v>
      </c>
      <c r="E11" s="18">
        <v>162</v>
      </c>
      <c r="F11" s="18">
        <v>92040</v>
      </c>
      <c r="G11" s="18">
        <v>5728</v>
      </c>
      <c r="H11" s="27">
        <v>0.93594771241830066</v>
      </c>
      <c r="I11" s="28">
        <v>1108</v>
      </c>
      <c r="J11" s="18">
        <v>8.0299999999999994</v>
      </c>
      <c r="K11" s="19">
        <v>6120</v>
      </c>
    </row>
    <row r="14" spans="1:11">
      <c r="A14" s="33" t="s">
        <v>494</v>
      </c>
    </row>
    <row r="15" spans="1:11">
      <c r="A15" s="15" t="s">
        <v>341</v>
      </c>
      <c r="B15" s="16" t="s">
        <v>1</v>
      </c>
      <c r="C15" s="16" t="s">
        <v>342</v>
      </c>
      <c r="D15" s="16" t="s">
        <v>343</v>
      </c>
      <c r="E15" s="16" t="s">
        <v>344</v>
      </c>
      <c r="F15" s="16" t="s">
        <v>469</v>
      </c>
      <c r="G15" s="16" t="s">
        <v>470</v>
      </c>
      <c r="H15" s="16" t="s">
        <v>471</v>
      </c>
      <c r="I15" s="16" t="s">
        <v>345</v>
      </c>
      <c r="J15" s="17" t="s">
        <v>346</v>
      </c>
    </row>
    <row r="16" spans="1:11">
      <c r="A16" s="26">
        <v>45453</v>
      </c>
      <c r="B16" s="18" t="s">
        <v>24</v>
      </c>
      <c r="C16" s="18">
        <v>1461</v>
      </c>
      <c r="D16" s="18">
        <v>64</v>
      </c>
      <c r="E16" s="18">
        <v>328902</v>
      </c>
      <c r="F16" s="18">
        <v>4472</v>
      </c>
      <c r="G16" s="27">
        <v>0.17005095444520496</v>
      </c>
      <c r="H16" s="28">
        <v>1397</v>
      </c>
      <c r="I16" s="18">
        <v>9.02</v>
      </c>
      <c r="J16" s="19">
        <v>26298</v>
      </c>
    </row>
    <row r="20" spans="1:7">
      <c r="A20" s="9" t="s">
        <v>379</v>
      </c>
      <c r="B20" s="9" t="s">
        <v>462</v>
      </c>
      <c r="C20" t="s">
        <v>382</v>
      </c>
      <c r="D20" t="s">
        <v>463</v>
      </c>
      <c r="E20" t="s">
        <v>464</v>
      </c>
      <c r="F20" t="s">
        <v>465</v>
      </c>
      <c r="G20" t="s">
        <v>385</v>
      </c>
    </row>
    <row r="21" spans="1:7">
      <c r="A21" s="10" t="s">
        <v>18</v>
      </c>
      <c r="B21">
        <v>6331868</v>
      </c>
      <c r="C21">
        <v>471034</v>
      </c>
      <c r="D21">
        <v>28708</v>
      </c>
      <c r="E21">
        <v>41116.025974025972</v>
      </c>
      <c r="F21">
        <v>3058.6623376623374</v>
      </c>
      <c r="G21">
        <v>186.41558441558442</v>
      </c>
    </row>
    <row r="22" spans="1:7">
      <c r="A22" s="10" t="s">
        <v>22</v>
      </c>
      <c r="B22">
        <v>4039305</v>
      </c>
      <c r="C22">
        <v>274455</v>
      </c>
      <c r="D22">
        <v>18717</v>
      </c>
      <c r="E22">
        <v>42971.329787234041</v>
      </c>
      <c r="F22">
        <v>2919.7340425531916</v>
      </c>
      <c r="G22">
        <v>199.11702127659575</v>
      </c>
    </row>
    <row r="23" spans="1:7">
      <c r="A23" s="10" t="s">
        <v>59</v>
      </c>
      <c r="B23">
        <v>1233853</v>
      </c>
      <c r="C23">
        <v>89871</v>
      </c>
      <c r="D23">
        <v>5557</v>
      </c>
      <c r="E23">
        <v>42546.65517241379</v>
      </c>
      <c r="F23">
        <v>3099</v>
      </c>
      <c r="G23">
        <v>191.62068965517241</v>
      </c>
    </row>
    <row r="24" spans="1:7">
      <c r="A24" s="10" t="s">
        <v>55</v>
      </c>
      <c r="B24">
        <v>865406</v>
      </c>
      <c r="C24">
        <v>61815</v>
      </c>
      <c r="D24">
        <v>4614</v>
      </c>
      <c r="E24">
        <v>37626.34782608696</v>
      </c>
      <c r="F24">
        <v>2687.608695652174</v>
      </c>
      <c r="G24">
        <v>200.60869565217391</v>
      </c>
    </row>
    <row r="25" spans="1:7">
      <c r="A25" s="10" t="s">
        <v>380</v>
      </c>
      <c r="B25">
        <v>12470432</v>
      </c>
      <c r="C25">
        <v>897175</v>
      </c>
      <c r="D25">
        <v>57596</v>
      </c>
      <c r="E25">
        <v>41568.106666666667</v>
      </c>
      <c r="F25">
        <v>2990.5833333333335</v>
      </c>
      <c r="G25">
        <v>191.98666666666668</v>
      </c>
    </row>
  </sheetData>
  <phoneticPr fontId="7" type="noConversion"/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11242-965F-408F-AD5F-1909B07BE2E3}">
  <dimension ref="A3:G8"/>
  <sheetViews>
    <sheetView workbookViewId="0">
      <selection activeCell="C24" sqref="C24"/>
    </sheetView>
  </sheetViews>
  <sheetFormatPr defaultRowHeight="14.4"/>
  <cols>
    <col min="1" max="1" width="12.6640625" bestFit="1" customWidth="1"/>
    <col min="2" max="2" width="25.21875" bestFit="1" customWidth="1"/>
    <col min="3" max="3" width="15.88671875" customWidth="1"/>
    <col min="4" max="4" width="14.21875" customWidth="1"/>
    <col min="5" max="6" width="18.44140625" customWidth="1"/>
    <col min="7" max="7" width="12.21875" customWidth="1"/>
    <col min="8" max="236" width="10.33203125" bestFit="1" customWidth="1"/>
    <col min="237" max="237" width="10.77734375" bestFit="1" customWidth="1"/>
  </cols>
  <sheetData>
    <row r="3" spans="1:7">
      <c r="A3" s="9" t="s">
        <v>379</v>
      </c>
      <c r="B3" t="s">
        <v>462</v>
      </c>
      <c r="C3" t="s">
        <v>382</v>
      </c>
      <c r="D3" t="s">
        <v>463</v>
      </c>
      <c r="E3" t="s">
        <v>464</v>
      </c>
      <c r="F3" t="s">
        <v>465</v>
      </c>
      <c r="G3" t="s">
        <v>385</v>
      </c>
    </row>
    <row r="4" spans="1:7">
      <c r="A4" s="10" t="s">
        <v>18</v>
      </c>
      <c r="B4">
        <v>6331868</v>
      </c>
      <c r="C4">
        <v>471034</v>
      </c>
      <c r="D4">
        <v>28708</v>
      </c>
      <c r="E4">
        <v>41116.025974025972</v>
      </c>
      <c r="F4">
        <v>3058.6623376623374</v>
      </c>
      <c r="G4">
        <v>186.41558441558442</v>
      </c>
    </row>
    <row r="5" spans="1:7">
      <c r="A5" s="10" t="s">
        <v>22</v>
      </c>
      <c r="B5">
        <v>4039305</v>
      </c>
      <c r="C5">
        <v>274455</v>
      </c>
      <c r="D5">
        <v>18717</v>
      </c>
      <c r="E5">
        <v>42971.329787234041</v>
      </c>
      <c r="F5">
        <v>2919.7340425531916</v>
      </c>
      <c r="G5">
        <v>199.11702127659575</v>
      </c>
    </row>
    <row r="6" spans="1:7">
      <c r="A6" s="10" t="s">
        <v>59</v>
      </c>
      <c r="B6">
        <v>1233853</v>
      </c>
      <c r="C6">
        <v>89871</v>
      </c>
      <c r="D6">
        <v>5557</v>
      </c>
      <c r="E6">
        <v>42546.65517241379</v>
      </c>
      <c r="F6">
        <v>3099</v>
      </c>
      <c r="G6">
        <v>191.62068965517241</v>
      </c>
    </row>
    <row r="7" spans="1:7">
      <c r="A7" s="10" t="s">
        <v>55</v>
      </c>
      <c r="B7">
        <v>865406</v>
      </c>
      <c r="C7">
        <v>61815</v>
      </c>
      <c r="D7">
        <v>4614</v>
      </c>
      <c r="E7">
        <v>37626.34782608696</v>
      </c>
      <c r="F7">
        <v>2687.608695652174</v>
      </c>
      <c r="G7">
        <v>200.60869565217391</v>
      </c>
    </row>
    <row r="8" spans="1:7">
      <c r="A8" s="10" t="s">
        <v>380</v>
      </c>
      <c r="B8">
        <v>12470432</v>
      </c>
      <c r="C8">
        <v>897175</v>
      </c>
      <c r="D8">
        <v>57596</v>
      </c>
      <c r="E8">
        <v>41568.106666666667</v>
      </c>
      <c r="F8">
        <v>2990.5833333333335</v>
      </c>
      <c r="G8">
        <v>191.98666666666668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5F10-1E0B-4E74-BF94-AEAB497137B4}">
  <dimension ref="A1:I201"/>
  <sheetViews>
    <sheetView workbookViewId="0">
      <selection activeCell="F32" sqref="F32"/>
    </sheetView>
  </sheetViews>
  <sheetFormatPr defaultRowHeight="14.4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7" width="16.44140625" customWidth="1"/>
    <col min="8" max="8" width="18.6640625" bestFit="1" customWidth="1"/>
    <col min="9" max="9" width="11.88671875" bestFit="1" customWidth="1"/>
  </cols>
  <sheetData>
    <row r="1" spans="1:9">
      <c r="A1" t="s">
        <v>341</v>
      </c>
      <c r="B1" t="s">
        <v>1</v>
      </c>
      <c r="C1" t="s">
        <v>342</v>
      </c>
      <c r="D1" t="s">
        <v>343</v>
      </c>
      <c r="E1" t="s">
        <v>344</v>
      </c>
      <c r="F1" s="20" t="s">
        <v>475</v>
      </c>
      <c r="G1" s="33" t="s">
        <v>481</v>
      </c>
      <c r="H1" t="s">
        <v>345</v>
      </c>
      <c r="I1" t="s">
        <v>346</v>
      </c>
    </row>
    <row r="2" spans="1:9" hidden="1">
      <c r="A2" s="7">
        <v>45446</v>
      </c>
      <c r="B2" t="s">
        <v>14</v>
      </c>
      <c r="C2">
        <v>1402</v>
      </c>
      <c r="D2">
        <v>68</v>
      </c>
      <c r="E2">
        <v>124562</v>
      </c>
      <c r="F2">
        <f>Engagement_Summary15[[#This Row],[New_Followers]]-Engagement_Summary15[[#This Row],[Unfollows]]</f>
        <v>1334</v>
      </c>
      <c r="G2" s="36">
        <f>(task_2_unsplit_dataset[[#This Row],[Likes]]+task_2_unsplit_dataset[[#This Row],[Shares]]+task_2_unsplit_dataset[[#This Row],[Comments]])/Engagement_Summary15[[#This Row],[Ad_Spend]]</f>
        <v>0.1097081081081081</v>
      </c>
      <c r="H2">
        <v>9.92</v>
      </c>
      <c r="I2">
        <v>23125</v>
      </c>
    </row>
    <row r="3" spans="1:9" hidden="1">
      <c r="A3" s="7">
        <v>45446</v>
      </c>
      <c r="B3" t="s">
        <v>24</v>
      </c>
      <c r="C3">
        <v>995</v>
      </c>
      <c r="D3">
        <v>86</v>
      </c>
      <c r="E3">
        <v>227958</v>
      </c>
      <c r="F3">
        <f>Engagement_Summary15[[#This Row],[New_Followers]]-Engagement_Summary15[[#This Row],[Unfollows]]</f>
        <v>909</v>
      </c>
      <c r="G3" s="36">
        <f>(task_2_unsplit_dataset[[#This Row],[Likes]]+task_2_unsplit_dataset[[#This Row],[Shares]]+task_2_unsplit_dataset[[#This Row],[Comments]])/Engagement_Summary15[[#This Row],[Ad_Spend]]</f>
        <v>0.14077584693698439</v>
      </c>
      <c r="H3">
        <v>8.0500000000000007</v>
      </c>
      <c r="I3">
        <v>22788</v>
      </c>
    </row>
    <row r="4" spans="1:9" hidden="1">
      <c r="A4" s="7">
        <v>45446</v>
      </c>
      <c r="B4" t="s">
        <v>31</v>
      </c>
      <c r="C4">
        <v>1472</v>
      </c>
      <c r="D4">
        <v>296</v>
      </c>
      <c r="E4">
        <v>370242</v>
      </c>
      <c r="F4">
        <f>Engagement_Summary15[[#This Row],[New_Followers]]-Engagement_Summary15[[#This Row],[Unfollows]]</f>
        <v>1176</v>
      </c>
      <c r="G4" s="36">
        <f>(task_2_unsplit_dataset[[#This Row],[Likes]]+task_2_unsplit_dataset[[#This Row],[Shares]]+task_2_unsplit_dataset[[#This Row],[Comments]])/Engagement_Summary15[[#This Row],[Ad_Spend]]</f>
        <v>0.5628681177976953</v>
      </c>
      <c r="H4">
        <v>7.72</v>
      </c>
      <c r="I4">
        <v>7810</v>
      </c>
    </row>
    <row r="5" spans="1:9" hidden="1">
      <c r="A5" s="7">
        <v>45453</v>
      </c>
      <c r="B5" t="s">
        <v>14</v>
      </c>
      <c r="C5">
        <v>1018</v>
      </c>
      <c r="D5">
        <v>90</v>
      </c>
      <c r="E5">
        <v>92474</v>
      </c>
      <c r="F5">
        <f>Engagement_Summary15[[#This Row],[New_Followers]]-Engagement_Summary15[[#This Row],[Unfollows]]</f>
        <v>928</v>
      </c>
      <c r="G5" s="36">
        <f>(task_2_unsplit_dataset[[#This Row],[Likes]]+task_2_unsplit_dataset[[#This Row],[Shares]]+task_2_unsplit_dataset[[#This Row],[Comments]])/Engagement_Summary15[[#This Row],[Ad_Spend]]</f>
        <v>0.22121009526993146</v>
      </c>
      <c r="H5">
        <v>9.4</v>
      </c>
      <c r="I5">
        <v>11966</v>
      </c>
    </row>
    <row r="6" spans="1:9" hidden="1">
      <c r="A6" s="7">
        <v>45453</v>
      </c>
      <c r="B6" t="s">
        <v>24</v>
      </c>
      <c r="C6">
        <v>1461</v>
      </c>
      <c r="D6">
        <v>64</v>
      </c>
      <c r="E6">
        <v>328902</v>
      </c>
      <c r="F6">
        <f>Engagement_Summary15[[#This Row],[New_Followers]]-Engagement_Summary15[[#This Row],[Unfollows]]</f>
        <v>1397</v>
      </c>
      <c r="G6" s="36">
        <f>(task_2_unsplit_dataset[[#This Row],[Likes]]+task_2_unsplit_dataset[[#This Row],[Shares]]+task_2_unsplit_dataset[[#This Row],[Comments]])/Engagement_Summary15[[#This Row],[Ad_Spend]]</f>
        <v>0.17005095444520496</v>
      </c>
      <c r="H6">
        <v>9.02</v>
      </c>
      <c r="I6">
        <v>26298</v>
      </c>
    </row>
    <row r="7" spans="1:9" hidden="1">
      <c r="A7" s="7">
        <v>45453</v>
      </c>
      <c r="B7" t="s">
        <v>31</v>
      </c>
      <c r="C7">
        <v>545</v>
      </c>
      <c r="D7">
        <v>93</v>
      </c>
      <c r="E7">
        <v>391621</v>
      </c>
      <c r="F7">
        <f>Engagement_Summary15[[#This Row],[New_Followers]]-Engagement_Summary15[[#This Row],[Unfollows]]</f>
        <v>452</v>
      </c>
      <c r="G7" s="36">
        <f>(task_2_unsplit_dataset[[#This Row],[Likes]]+task_2_unsplit_dataset[[#This Row],[Shares]]+task_2_unsplit_dataset[[#This Row],[Comments]])/Engagement_Summary15[[#This Row],[Ad_Spend]]</f>
        <v>0.14371964228970902</v>
      </c>
      <c r="H7">
        <v>9.9600000000000009</v>
      </c>
      <c r="I7">
        <v>22029</v>
      </c>
    </row>
    <row r="8" spans="1:9" hidden="1">
      <c r="A8" s="7">
        <v>45460</v>
      </c>
      <c r="B8" t="s">
        <v>14</v>
      </c>
      <c r="C8">
        <v>881</v>
      </c>
      <c r="D8">
        <v>291</v>
      </c>
      <c r="E8">
        <v>95885</v>
      </c>
      <c r="F8">
        <f>Engagement_Summary15[[#This Row],[New_Followers]]-Engagement_Summary15[[#This Row],[Unfollows]]</f>
        <v>590</v>
      </c>
      <c r="G8" s="36">
        <f>(task_2_unsplit_dataset[[#This Row],[Likes]]+task_2_unsplit_dataset[[#This Row],[Shares]]+task_2_unsplit_dataset[[#This Row],[Comments]])/Engagement_Summary15[[#This Row],[Ad_Spend]]</f>
        <v>0.22104753450084738</v>
      </c>
      <c r="H8">
        <v>5.29</v>
      </c>
      <c r="I8">
        <v>12391</v>
      </c>
    </row>
    <row r="9" spans="1:9" hidden="1">
      <c r="A9" s="7">
        <v>45460</v>
      </c>
      <c r="B9" t="s">
        <v>24</v>
      </c>
      <c r="C9">
        <v>1414</v>
      </c>
      <c r="D9">
        <v>131</v>
      </c>
      <c r="E9">
        <v>245947</v>
      </c>
      <c r="F9">
        <f>Engagement_Summary15[[#This Row],[New_Followers]]-Engagement_Summary15[[#This Row],[Unfollows]]</f>
        <v>1283</v>
      </c>
      <c r="G9" s="36">
        <f>(task_2_unsplit_dataset[[#This Row],[Likes]]+task_2_unsplit_dataset[[#This Row],[Shares]]+task_2_unsplit_dataset[[#This Row],[Comments]])/Engagement_Summary15[[#This Row],[Ad_Spend]]</f>
        <v>0.14167299854942322</v>
      </c>
      <c r="H9">
        <v>8.3000000000000007</v>
      </c>
      <c r="I9">
        <v>14477</v>
      </c>
    </row>
    <row r="10" spans="1:9" hidden="1">
      <c r="A10" s="7">
        <v>45460</v>
      </c>
      <c r="B10" t="s">
        <v>31</v>
      </c>
      <c r="C10">
        <v>1472</v>
      </c>
      <c r="D10">
        <v>170</v>
      </c>
      <c r="E10">
        <v>250428</v>
      </c>
      <c r="F10">
        <f>Engagement_Summary15[[#This Row],[New_Followers]]-Engagement_Summary15[[#This Row],[Unfollows]]</f>
        <v>1302</v>
      </c>
      <c r="G10" s="36">
        <f>(task_2_unsplit_dataset[[#This Row],[Likes]]+task_2_unsplit_dataset[[#This Row],[Shares]]+task_2_unsplit_dataset[[#This Row],[Comments]])/Engagement_Summary15[[#This Row],[Ad_Spend]]</f>
        <v>8.2228434504792336E-2</v>
      </c>
      <c r="H10">
        <v>4.66</v>
      </c>
      <c r="I10">
        <v>25040</v>
      </c>
    </row>
    <row r="11" spans="1:9" hidden="1">
      <c r="A11" s="7">
        <v>45467</v>
      </c>
      <c r="B11" t="s">
        <v>14</v>
      </c>
      <c r="C11">
        <v>809</v>
      </c>
      <c r="D11">
        <v>197</v>
      </c>
      <c r="E11">
        <v>87186</v>
      </c>
      <c r="F11">
        <f>Engagement_Summary15[[#This Row],[New_Followers]]-Engagement_Summary15[[#This Row],[Unfollows]]</f>
        <v>612</v>
      </c>
      <c r="G11" s="36">
        <f>(task_2_unsplit_dataset[[#This Row],[Likes]]+task_2_unsplit_dataset[[#This Row],[Shares]]+task_2_unsplit_dataset[[#This Row],[Comments]])/Engagement_Summary15[[#This Row],[Ad_Spend]]</f>
        <v>0.18559618020248464</v>
      </c>
      <c r="H11">
        <v>9.48</v>
      </c>
      <c r="I11">
        <v>22619</v>
      </c>
    </row>
    <row r="12" spans="1:9" hidden="1">
      <c r="A12" s="7">
        <v>45467</v>
      </c>
      <c r="B12" t="s">
        <v>24</v>
      </c>
      <c r="C12">
        <v>1371</v>
      </c>
      <c r="D12">
        <v>250</v>
      </c>
      <c r="E12">
        <v>128620</v>
      </c>
      <c r="F12">
        <f>Engagement_Summary15[[#This Row],[New_Followers]]-Engagement_Summary15[[#This Row],[Unfollows]]</f>
        <v>1121</v>
      </c>
      <c r="G12" s="36">
        <f>(task_2_unsplit_dataset[[#This Row],[Likes]]+task_2_unsplit_dataset[[#This Row],[Shares]]+task_2_unsplit_dataset[[#This Row],[Comments]])/Engagement_Summary15[[#This Row],[Ad_Spend]]</f>
        <v>0.28252278409549159</v>
      </c>
      <c r="H12">
        <v>7.11</v>
      </c>
      <c r="I12">
        <v>12399</v>
      </c>
    </row>
    <row r="13" spans="1:9" hidden="1">
      <c r="A13" s="7">
        <v>45467</v>
      </c>
      <c r="B13" t="s">
        <v>31</v>
      </c>
      <c r="C13">
        <v>844</v>
      </c>
      <c r="D13">
        <v>144</v>
      </c>
      <c r="E13">
        <v>126015</v>
      </c>
      <c r="F13">
        <f>Engagement_Summary15[[#This Row],[New_Followers]]-Engagement_Summary15[[#This Row],[Unfollows]]</f>
        <v>700</v>
      </c>
      <c r="G13" s="36">
        <f>(task_2_unsplit_dataset[[#This Row],[Likes]]+task_2_unsplit_dataset[[#This Row],[Shares]]+task_2_unsplit_dataset[[#This Row],[Comments]])/Engagement_Summary15[[#This Row],[Ad_Spend]]</f>
        <v>0.24594763092269326</v>
      </c>
      <c r="H13">
        <v>9.65</v>
      </c>
      <c r="I13">
        <v>22456</v>
      </c>
    </row>
    <row r="14" spans="1:9" hidden="1">
      <c r="A14" s="7">
        <v>45474</v>
      </c>
      <c r="B14" t="s">
        <v>14</v>
      </c>
      <c r="C14">
        <v>786</v>
      </c>
      <c r="D14">
        <v>72</v>
      </c>
      <c r="E14">
        <v>178615</v>
      </c>
      <c r="F14">
        <f>Engagement_Summary15[[#This Row],[New_Followers]]-Engagement_Summary15[[#This Row],[Unfollows]]</f>
        <v>714</v>
      </c>
      <c r="G14" s="36">
        <f>(task_2_unsplit_dataset[[#This Row],[Likes]]+task_2_unsplit_dataset[[#This Row],[Shares]]+task_2_unsplit_dataset[[#This Row],[Comments]])/Engagement_Summary15[[#This Row],[Ad_Spend]]</f>
        <v>0.1713058774834437</v>
      </c>
      <c r="H14">
        <v>5.43</v>
      </c>
      <c r="I14">
        <v>19328</v>
      </c>
    </row>
    <row r="15" spans="1:9" hidden="1">
      <c r="A15" s="7">
        <v>45474</v>
      </c>
      <c r="B15" t="s">
        <v>24</v>
      </c>
      <c r="C15">
        <v>845</v>
      </c>
      <c r="D15">
        <v>250</v>
      </c>
      <c r="E15">
        <v>218228</v>
      </c>
      <c r="F15">
        <f>Engagement_Summary15[[#This Row],[New_Followers]]-Engagement_Summary15[[#This Row],[Unfollows]]</f>
        <v>595</v>
      </c>
      <c r="G15" s="36">
        <f>(task_2_unsplit_dataset[[#This Row],[Likes]]+task_2_unsplit_dataset[[#This Row],[Shares]]+task_2_unsplit_dataset[[#This Row],[Comments]])/Engagement_Summary15[[#This Row],[Ad_Spend]]</f>
        <v>0.16392665940209408</v>
      </c>
      <c r="H15">
        <v>4.5199999999999996</v>
      </c>
      <c r="I15">
        <v>21107</v>
      </c>
    </row>
    <row r="16" spans="1:9" hidden="1">
      <c r="A16" s="7">
        <v>45474</v>
      </c>
      <c r="B16" t="s">
        <v>31</v>
      </c>
      <c r="C16">
        <v>1218</v>
      </c>
      <c r="D16">
        <v>101</v>
      </c>
      <c r="E16">
        <v>300397</v>
      </c>
      <c r="F16">
        <f>Engagement_Summary15[[#This Row],[New_Followers]]-Engagement_Summary15[[#This Row],[Unfollows]]</f>
        <v>1117</v>
      </c>
      <c r="G16" s="36">
        <f>(task_2_unsplit_dataset[[#This Row],[Likes]]+task_2_unsplit_dataset[[#This Row],[Shares]]+task_2_unsplit_dataset[[#This Row],[Comments]])/Engagement_Summary15[[#This Row],[Ad_Spend]]</f>
        <v>0.10922863891830252</v>
      </c>
      <c r="H16">
        <v>4.33</v>
      </c>
      <c r="I16">
        <v>12277</v>
      </c>
    </row>
    <row r="17" spans="1:9" hidden="1">
      <c r="A17" s="7">
        <v>45481</v>
      </c>
      <c r="B17" t="s">
        <v>14</v>
      </c>
      <c r="C17">
        <v>797</v>
      </c>
      <c r="D17">
        <v>130</v>
      </c>
      <c r="E17">
        <v>340121</v>
      </c>
      <c r="F17">
        <f>Engagement_Summary15[[#This Row],[New_Followers]]-Engagement_Summary15[[#This Row],[Unfollows]]</f>
        <v>667</v>
      </c>
      <c r="G17" s="36">
        <f>(task_2_unsplit_dataset[[#This Row],[Likes]]+task_2_unsplit_dataset[[#This Row],[Shares]]+task_2_unsplit_dataset[[#This Row],[Comments]])/Engagement_Summary15[[#This Row],[Ad_Spend]]</f>
        <v>0.43324204039712427</v>
      </c>
      <c r="H17">
        <v>8.52</v>
      </c>
      <c r="I17">
        <v>11684</v>
      </c>
    </row>
    <row r="18" spans="1:9" hidden="1">
      <c r="A18" s="7">
        <v>45600</v>
      </c>
      <c r="B18" t="s">
        <v>24</v>
      </c>
      <c r="C18">
        <v>1463</v>
      </c>
      <c r="D18">
        <v>73</v>
      </c>
      <c r="E18">
        <v>348877</v>
      </c>
      <c r="F18">
        <f>Engagement_Summary15[[#This Row],[New_Followers]]-Engagement_Summary15[[#This Row],[Unfollows]]</f>
        <v>1390</v>
      </c>
      <c r="G18" s="36">
        <f>(task_2_unsplit_dataset[[#This Row],[Likes]]+task_2_unsplit_dataset[[#This Row],[Shares]]+task_2_unsplit_dataset[[#This Row],[Comments]])/Engagement_Summary15[[#This Row],[Ad_Spend]]</f>
        <v>5.1611920983519202E-2</v>
      </c>
      <c r="H18">
        <v>9.91</v>
      </c>
      <c r="I18">
        <v>26273</v>
      </c>
    </row>
    <row r="19" spans="1:9" hidden="1">
      <c r="A19" s="7">
        <v>45481</v>
      </c>
      <c r="B19" t="s">
        <v>31</v>
      </c>
      <c r="C19">
        <v>1253</v>
      </c>
      <c r="D19">
        <v>136</v>
      </c>
      <c r="E19">
        <v>193131</v>
      </c>
      <c r="F19">
        <f>Engagement_Summary15[[#This Row],[New_Followers]]-Engagement_Summary15[[#This Row],[Unfollows]]</f>
        <v>1117</v>
      </c>
      <c r="G19" s="36">
        <f>(task_2_unsplit_dataset[[#This Row],[Likes]]+task_2_unsplit_dataset[[#This Row],[Shares]]+task_2_unsplit_dataset[[#This Row],[Comments]])/Engagement_Summary15[[#This Row],[Ad_Spend]]</f>
        <v>0.12088671188143682</v>
      </c>
      <c r="H19">
        <v>7.99</v>
      </c>
      <c r="I19">
        <v>15924</v>
      </c>
    </row>
    <row r="20" spans="1:9" hidden="1">
      <c r="A20" s="7">
        <v>45488</v>
      </c>
      <c r="B20" t="s">
        <v>14</v>
      </c>
      <c r="C20">
        <v>616</v>
      </c>
      <c r="D20">
        <v>257</v>
      </c>
      <c r="E20">
        <v>169665</v>
      </c>
      <c r="F20">
        <f>Engagement_Summary15[[#This Row],[New_Followers]]-Engagement_Summary15[[#This Row],[Unfollows]]</f>
        <v>359</v>
      </c>
      <c r="G20" s="36">
        <f>(task_2_unsplit_dataset[[#This Row],[Likes]]+task_2_unsplit_dataset[[#This Row],[Shares]]+task_2_unsplit_dataset[[#This Row],[Comments]])/Engagement_Summary15[[#This Row],[Ad_Spend]]</f>
        <v>0.30758676351896691</v>
      </c>
      <c r="H20">
        <v>6.31</v>
      </c>
      <c r="I20">
        <v>12390</v>
      </c>
    </row>
    <row r="21" spans="1:9" hidden="1">
      <c r="A21" s="7">
        <v>45488</v>
      </c>
      <c r="B21" t="s">
        <v>24</v>
      </c>
      <c r="C21">
        <v>1308</v>
      </c>
      <c r="D21">
        <v>210</v>
      </c>
      <c r="E21">
        <v>263729</v>
      </c>
      <c r="F21">
        <f>Engagement_Summary15[[#This Row],[New_Followers]]-Engagement_Summary15[[#This Row],[Unfollows]]</f>
        <v>1098</v>
      </c>
      <c r="G21" s="36">
        <f>(task_2_unsplit_dataset[[#This Row],[Likes]]+task_2_unsplit_dataset[[#This Row],[Shares]]+task_2_unsplit_dataset[[#This Row],[Comments]])/Engagement_Summary15[[#This Row],[Ad_Spend]]</f>
        <v>0.18056095097506022</v>
      </c>
      <c r="H21">
        <v>8.5299999999999994</v>
      </c>
      <c r="I21">
        <v>25742</v>
      </c>
    </row>
    <row r="22" spans="1:9" hidden="1">
      <c r="A22" s="7">
        <v>45488</v>
      </c>
      <c r="B22" t="s">
        <v>31</v>
      </c>
      <c r="C22">
        <v>981</v>
      </c>
      <c r="D22">
        <v>69</v>
      </c>
      <c r="E22">
        <v>206921</v>
      </c>
      <c r="F22">
        <f>Engagement_Summary15[[#This Row],[New_Followers]]-Engagement_Summary15[[#This Row],[Unfollows]]</f>
        <v>912</v>
      </c>
      <c r="G22" s="36">
        <f>(task_2_unsplit_dataset[[#This Row],[Likes]]+task_2_unsplit_dataset[[#This Row],[Shares]]+task_2_unsplit_dataset[[#This Row],[Comments]])/Engagement_Summary15[[#This Row],[Ad_Spend]]</f>
        <v>0.15826584087660792</v>
      </c>
      <c r="H22">
        <v>8.42</v>
      </c>
      <c r="I22">
        <v>10495</v>
      </c>
    </row>
    <row r="23" spans="1:9" hidden="1">
      <c r="A23" s="7">
        <v>45495</v>
      </c>
      <c r="B23" t="s">
        <v>14</v>
      </c>
      <c r="C23">
        <v>866</v>
      </c>
      <c r="D23">
        <v>74</v>
      </c>
      <c r="E23">
        <v>204121</v>
      </c>
      <c r="F23">
        <f>Engagement_Summary15[[#This Row],[New_Followers]]-Engagement_Summary15[[#This Row],[Unfollows]]</f>
        <v>792</v>
      </c>
      <c r="G23" s="36">
        <f>(task_2_unsplit_dataset[[#This Row],[Likes]]+task_2_unsplit_dataset[[#This Row],[Shares]]+task_2_unsplit_dataset[[#This Row],[Comments]])/Engagement_Summary15[[#This Row],[Ad_Spend]]</f>
        <v>0.37745286648711041</v>
      </c>
      <c r="H23">
        <v>9.34</v>
      </c>
      <c r="I23">
        <v>7797</v>
      </c>
    </row>
    <row r="24" spans="1:9" hidden="1">
      <c r="A24" s="7">
        <v>45495</v>
      </c>
      <c r="B24" t="s">
        <v>24</v>
      </c>
      <c r="C24">
        <v>547</v>
      </c>
      <c r="D24">
        <v>183</v>
      </c>
      <c r="E24">
        <v>266350</v>
      </c>
      <c r="F24">
        <f>Engagement_Summary15[[#This Row],[New_Followers]]-Engagement_Summary15[[#This Row],[Unfollows]]</f>
        <v>364</v>
      </c>
      <c r="G24" s="36">
        <f>(task_2_unsplit_dataset[[#This Row],[Likes]]+task_2_unsplit_dataset[[#This Row],[Shares]]+task_2_unsplit_dataset[[#This Row],[Comments]])/Engagement_Summary15[[#This Row],[Ad_Spend]]</f>
        <v>0.32035908945174735</v>
      </c>
      <c r="H24">
        <v>5.65</v>
      </c>
      <c r="I24">
        <v>15595</v>
      </c>
    </row>
    <row r="25" spans="1:9" hidden="1">
      <c r="A25" s="7">
        <v>45495</v>
      </c>
      <c r="B25" t="s">
        <v>31</v>
      </c>
      <c r="C25">
        <v>1241</v>
      </c>
      <c r="D25">
        <v>116</v>
      </c>
      <c r="E25">
        <v>380606</v>
      </c>
      <c r="F25">
        <f>Engagement_Summary15[[#This Row],[New_Followers]]-Engagement_Summary15[[#This Row],[Unfollows]]</f>
        <v>1125</v>
      </c>
      <c r="G25" s="36">
        <f>(task_2_unsplit_dataset[[#This Row],[Likes]]+task_2_unsplit_dataset[[#This Row],[Shares]]+task_2_unsplit_dataset[[#This Row],[Comments]])/Engagement_Summary15[[#This Row],[Ad_Spend]]</f>
        <v>0.10517122313848154</v>
      </c>
      <c r="H25">
        <v>4.2</v>
      </c>
      <c r="I25">
        <v>24617</v>
      </c>
    </row>
    <row r="26" spans="1:9" hidden="1">
      <c r="A26" s="7">
        <v>45502</v>
      </c>
      <c r="B26" t="s">
        <v>14</v>
      </c>
      <c r="C26">
        <v>973</v>
      </c>
      <c r="D26">
        <v>104</v>
      </c>
      <c r="E26">
        <v>376358</v>
      </c>
      <c r="F26">
        <f>Engagement_Summary15[[#This Row],[New_Followers]]-Engagement_Summary15[[#This Row],[Unfollows]]</f>
        <v>869</v>
      </c>
      <c r="G26" s="36">
        <f>(task_2_unsplit_dataset[[#This Row],[Likes]]+task_2_unsplit_dataset[[#This Row],[Shares]]+task_2_unsplit_dataset[[#This Row],[Comments]])/Engagement_Summary15[[#This Row],[Ad_Spend]]</f>
        <v>0.16472021935614908</v>
      </c>
      <c r="H26">
        <v>3.87</v>
      </c>
      <c r="I26">
        <v>9847</v>
      </c>
    </row>
    <row r="27" spans="1:9" hidden="1">
      <c r="A27" s="7">
        <v>45502</v>
      </c>
      <c r="B27" t="s">
        <v>24</v>
      </c>
      <c r="C27">
        <v>611</v>
      </c>
      <c r="D27">
        <v>197</v>
      </c>
      <c r="E27">
        <v>79423</v>
      </c>
      <c r="F27">
        <f>Engagement_Summary15[[#This Row],[New_Followers]]-Engagement_Summary15[[#This Row],[Unfollows]]</f>
        <v>414</v>
      </c>
      <c r="G27" s="36">
        <f>(task_2_unsplit_dataset[[#This Row],[Likes]]+task_2_unsplit_dataset[[#This Row],[Shares]]+task_2_unsplit_dataset[[#This Row],[Comments]])/Engagement_Summary15[[#This Row],[Ad_Spend]]</f>
        <v>0.1202726473175022</v>
      </c>
      <c r="H27">
        <v>5.82</v>
      </c>
      <c r="I27">
        <v>13644</v>
      </c>
    </row>
    <row r="28" spans="1:9" hidden="1">
      <c r="A28" s="7">
        <v>45502</v>
      </c>
      <c r="B28" t="s">
        <v>31</v>
      </c>
      <c r="C28">
        <v>983</v>
      </c>
      <c r="D28">
        <v>134</v>
      </c>
      <c r="E28">
        <v>352178</v>
      </c>
      <c r="F28">
        <f>Engagement_Summary15[[#This Row],[New_Followers]]-Engagement_Summary15[[#This Row],[Unfollows]]</f>
        <v>849</v>
      </c>
      <c r="G28" s="36">
        <f>(task_2_unsplit_dataset[[#This Row],[Likes]]+task_2_unsplit_dataset[[#This Row],[Shares]]+task_2_unsplit_dataset[[#This Row],[Comments]])/Engagement_Summary15[[#This Row],[Ad_Spend]]</f>
        <v>0.38578057963400753</v>
      </c>
      <c r="H28">
        <v>3.55</v>
      </c>
      <c r="I28">
        <v>11421</v>
      </c>
    </row>
    <row r="29" spans="1:9" hidden="1">
      <c r="A29" s="7">
        <v>45656</v>
      </c>
      <c r="B29" t="s">
        <v>24</v>
      </c>
      <c r="C29">
        <v>1490</v>
      </c>
      <c r="D29">
        <v>103</v>
      </c>
      <c r="E29">
        <v>373274</v>
      </c>
      <c r="F29">
        <f>Engagement_Summary15[[#This Row],[New_Followers]]-Engagement_Summary15[[#This Row],[Unfollows]]</f>
        <v>1387</v>
      </c>
      <c r="G29" s="36">
        <f>(task_2_unsplit_dataset[[#This Row],[Likes]]+task_2_unsplit_dataset[[#This Row],[Shares]]+task_2_unsplit_dataset[[#This Row],[Comments]])/Engagement_Summary15[[#This Row],[Ad_Spend]]</f>
        <v>0.18231490300265676</v>
      </c>
      <c r="H29">
        <v>4.8</v>
      </c>
      <c r="I29">
        <v>19949</v>
      </c>
    </row>
    <row r="30" spans="1:9" hidden="1">
      <c r="A30" s="7">
        <v>45509</v>
      </c>
      <c r="B30" t="s">
        <v>24</v>
      </c>
      <c r="C30">
        <v>752</v>
      </c>
      <c r="D30">
        <v>170</v>
      </c>
      <c r="E30">
        <v>132756</v>
      </c>
      <c r="F30">
        <f>Engagement_Summary15[[#This Row],[New_Followers]]-Engagement_Summary15[[#This Row],[Unfollows]]</f>
        <v>582</v>
      </c>
      <c r="G30" s="36">
        <f>(task_2_unsplit_dataset[[#This Row],[Likes]]+task_2_unsplit_dataset[[#This Row],[Shares]]+task_2_unsplit_dataset[[#This Row],[Comments]])/Engagement_Summary15[[#This Row],[Ad_Spend]]</f>
        <v>0.19150627615062762</v>
      </c>
      <c r="H30">
        <v>8.17</v>
      </c>
      <c r="I30">
        <v>23900</v>
      </c>
    </row>
    <row r="31" spans="1:9">
      <c r="A31" s="7">
        <v>45698</v>
      </c>
      <c r="B31" t="s">
        <v>24</v>
      </c>
      <c r="C31">
        <v>1270</v>
      </c>
      <c r="D31">
        <v>162</v>
      </c>
      <c r="E31">
        <v>92040</v>
      </c>
      <c r="F31">
        <f>Engagement_Summary15[[#This Row],[New_Followers]]-Engagement_Summary15[[#This Row],[Unfollows]]</f>
        <v>1108</v>
      </c>
      <c r="G31" s="36">
        <f>(task_2_unsplit_dataset[[#This Row],[Likes]]+task_2_unsplit_dataset[[#This Row],[Shares]]+task_2_unsplit_dataset[[#This Row],[Comments]])/Engagement_Summary15[[#This Row],[Ad_Spend]]</f>
        <v>0.66535947712418297</v>
      </c>
      <c r="H31">
        <v>8.0299999999999994</v>
      </c>
      <c r="I31">
        <v>6120</v>
      </c>
    </row>
    <row r="32" spans="1:9">
      <c r="A32" s="7">
        <v>45894</v>
      </c>
      <c r="B32" t="s">
        <v>31</v>
      </c>
      <c r="C32">
        <v>791</v>
      </c>
      <c r="D32">
        <v>273</v>
      </c>
      <c r="E32">
        <v>144049</v>
      </c>
      <c r="F32">
        <f>Engagement_Summary15[[#This Row],[New_Followers]]-Engagement_Summary15[[#This Row],[Unfollows]]</f>
        <v>518</v>
      </c>
      <c r="G32" s="36">
        <f>(task_2_unsplit_dataset[[#This Row],[Likes]]+task_2_unsplit_dataset[[#This Row],[Shares]]+task_2_unsplit_dataset[[#This Row],[Comments]])/Engagement_Summary15[[#This Row],[Ad_Spend]]</f>
        <v>0.94622230638136717</v>
      </c>
      <c r="H32">
        <v>3.08</v>
      </c>
      <c r="I32">
        <v>5281</v>
      </c>
    </row>
    <row r="33" spans="1:9" hidden="1">
      <c r="A33" s="7">
        <v>45516</v>
      </c>
      <c r="B33" t="s">
        <v>24</v>
      </c>
      <c r="C33">
        <v>1456</v>
      </c>
      <c r="D33">
        <v>265</v>
      </c>
      <c r="E33">
        <v>115505</v>
      </c>
      <c r="F33">
        <f>Engagement_Summary15[[#This Row],[New_Followers]]-Engagement_Summary15[[#This Row],[Unfollows]]</f>
        <v>1191</v>
      </c>
      <c r="G33" s="36">
        <f>(task_2_unsplit_dataset[[#This Row],[Likes]]+task_2_unsplit_dataset[[#This Row],[Shares]]+task_2_unsplit_dataset[[#This Row],[Comments]])/Engagement_Summary15[[#This Row],[Ad_Spend]]</f>
        <v>0.24556299098050627</v>
      </c>
      <c r="H33">
        <v>7.49</v>
      </c>
      <c r="I33">
        <v>10311</v>
      </c>
    </row>
    <row r="34" spans="1:9" hidden="1">
      <c r="A34" s="7">
        <v>45516</v>
      </c>
      <c r="B34" t="s">
        <v>31</v>
      </c>
      <c r="C34">
        <v>1109</v>
      </c>
      <c r="D34">
        <v>205</v>
      </c>
      <c r="E34">
        <v>276722</v>
      </c>
      <c r="F34">
        <f>Engagement_Summary15[[#This Row],[New_Followers]]-Engagement_Summary15[[#This Row],[Unfollows]]</f>
        <v>904</v>
      </c>
      <c r="G34" s="36">
        <f>(task_2_unsplit_dataset[[#This Row],[Likes]]+task_2_unsplit_dataset[[#This Row],[Shares]]+task_2_unsplit_dataset[[#This Row],[Comments]])/Engagement_Summary15[[#This Row],[Ad_Spend]]</f>
        <v>0.41962774957698817</v>
      </c>
      <c r="H34">
        <v>9.3800000000000008</v>
      </c>
      <c r="I34">
        <v>8274</v>
      </c>
    </row>
    <row r="35" spans="1:9" hidden="1">
      <c r="A35" s="7">
        <v>45523</v>
      </c>
      <c r="B35" t="s">
        <v>14</v>
      </c>
      <c r="C35">
        <v>1002</v>
      </c>
      <c r="D35">
        <v>93</v>
      </c>
      <c r="E35">
        <v>353538</v>
      </c>
      <c r="F35">
        <f>Engagement_Summary15[[#This Row],[New_Followers]]-Engagement_Summary15[[#This Row],[Unfollows]]</f>
        <v>909</v>
      </c>
      <c r="G35" s="36">
        <f>(task_2_unsplit_dataset[[#This Row],[Likes]]+task_2_unsplit_dataset[[#This Row],[Shares]]+task_2_unsplit_dataset[[#This Row],[Comments]])/Engagement_Summary15[[#This Row],[Ad_Spend]]</f>
        <v>0.30807494611175595</v>
      </c>
      <c r="H35">
        <v>5.84</v>
      </c>
      <c r="I35">
        <v>6031</v>
      </c>
    </row>
    <row r="36" spans="1:9" hidden="1">
      <c r="A36" s="7">
        <v>45523</v>
      </c>
      <c r="B36" t="s">
        <v>24</v>
      </c>
      <c r="C36">
        <v>571</v>
      </c>
      <c r="D36">
        <v>189</v>
      </c>
      <c r="E36">
        <v>61445</v>
      </c>
      <c r="F36">
        <f>Engagement_Summary15[[#This Row],[New_Followers]]-Engagement_Summary15[[#This Row],[Unfollows]]</f>
        <v>382</v>
      </c>
      <c r="G36" s="36">
        <f>(task_2_unsplit_dataset[[#This Row],[Likes]]+task_2_unsplit_dataset[[#This Row],[Shares]]+task_2_unsplit_dataset[[#This Row],[Comments]])/Engagement_Summary15[[#This Row],[Ad_Spend]]</f>
        <v>6.0512415106543531E-2</v>
      </c>
      <c r="H36">
        <v>5.41</v>
      </c>
      <c r="I36">
        <v>27829</v>
      </c>
    </row>
    <row r="37" spans="1:9" hidden="1">
      <c r="A37" s="7">
        <v>45523</v>
      </c>
      <c r="B37" t="s">
        <v>31</v>
      </c>
      <c r="C37">
        <v>1240</v>
      </c>
      <c r="D37">
        <v>231</v>
      </c>
      <c r="E37">
        <v>165035</v>
      </c>
      <c r="F37">
        <f>Engagement_Summary15[[#This Row],[New_Followers]]-Engagement_Summary15[[#This Row],[Unfollows]]</f>
        <v>1009</v>
      </c>
      <c r="G37" s="36">
        <f>(task_2_unsplit_dataset[[#This Row],[Likes]]+task_2_unsplit_dataset[[#This Row],[Shares]]+task_2_unsplit_dataset[[#This Row],[Comments]])/Engagement_Summary15[[#This Row],[Ad_Spend]]</f>
        <v>0.12574588054962502</v>
      </c>
      <c r="H37">
        <v>6.05</v>
      </c>
      <c r="I37">
        <v>18267</v>
      </c>
    </row>
    <row r="38" spans="1:9" hidden="1">
      <c r="A38" s="7">
        <v>45530</v>
      </c>
      <c r="B38" t="s">
        <v>14</v>
      </c>
      <c r="C38">
        <v>1154</v>
      </c>
      <c r="D38">
        <v>132</v>
      </c>
      <c r="E38">
        <v>194595</v>
      </c>
      <c r="F38">
        <f>Engagement_Summary15[[#This Row],[New_Followers]]-Engagement_Summary15[[#This Row],[Unfollows]]</f>
        <v>1022</v>
      </c>
      <c r="G38" s="36">
        <f>(task_2_unsplit_dataset[[#This Row],[Likes]]+task_2_unsplit_dataset[[#This Row],[Shares]]+task_2_unsplit_dataset[[#This Row],[Comments]])/Engagement_Summary15[[#This Row],[Ad_Spend]]</f>
        <v>9.2247596153846159E-2</v>
      </c>
      <c r="H38">
        <v>7.54</v>
      </c>
      <c r="I38">
        <v>26624</v>
      </c>
    </row>
    <row r="39" spans="1:9" hidden="1">
      <c r="A39" s="7">
        <v>45530</v>
      </c>
      <c r="B39" t="s">
        <v>24</v>
      </c>
      <c r="C39">
        <v>537</v>
      </c>
      <c r="D39">
        <v>275</v>
      </c>
      <c r="E39">
        <v>236238</v>
      </c>
      <c r="F39">
        <f>Engagement_Summary15[[#This Row],[New_Followers]]-Engagement_Summary15[[#This Row],[Unfollows]]</f>
        <v>262</v>
      </c>
      <c r="G39" s="36">
        <f>(task_2_unsplit_dataset[[#This Row],[Likes]]+task_2_unsplit_dataset[[#This Row],[Shares]]+task_2_unsplit_dataset[[#This Row],[Comments]])/Engagement_Summary15[[#This Row],[Ad_Spend]]</f>
        <v>0.18428163939348446</v>
      </c>
      <c r="H39">
        <v>5.87</v>
      </c>
      <c r="I39">
        <v>26644</v>
      </c>
    </row>
    <row r="40" spans="1:9" hidden="1">
      <c r="A40" s="7">
        <v>45530</v>
      </c>
      <c r="B40" t="s">
        <v>31</v>
      </c>
      <c r="C40">
        <v>1456</v>
      </c>
      <c r="D40">
        <v>290</v>
      </c>
      <c r="E40">
        <v>271044</v>
      </c>
      <c r="F40">
        <f>Engagement_Summary15[[#This Row],[New_Followers]]-Engagement_Summary15[[#This Row],[Unfollows]]</f>
        <v>1166</v>
      </c>
      <c r="G40" s="36">
        <f>(task_2_unsplit_dataset[[#This Row],[Likes]]+task_2_unsplit_dataset[[#This Row],[Shares]]+task_2_unsplit_dataset[[#This Row],[Comments]])/Engagement_Summary15[[#This Row],[Ad_Spend]]</f>
        <v>0.25522948433070264</v>
      </c>
      <c r="H40">
        <v>7.17</v>
      </c>
      <c r="I40">
        <v>13051</v>
      </c>
    </row>
    <row r="41" spans="1:9" hidden="1">
      <c r="A41" s="7">
        <v>45537</v>
      </c>
      <c r="B41" t="s">
        <v>14</v>
      </c>
      <c r="C41">
        <v>721</v>
      </c>
      <c r="D41">
        <v>206</v>
      </c>
      <c r="E41">
        <v>334887</v>
      </c>
      <c r="F41">
        <f>Engagement_Summary15[[#This Row],[New_Followers]]-Engagement_Summary15[[#This Row],[Unfollows]]</f>
        <v>515</v>
      </c>
      <c r="G41" s="36">
        <f>(task_2_unsplit_dataset[[#This Row],[Likes]]+task_2_unsplit_dataset[[#This Row],[Shares]]+task_2_unsplit_dataset[[#This Row],[Comments]])/Engagement_Summary15[[#This Row],[Ad_Spend]]</f>
        <v>0.32608848561581205</v>
      </c>
      <c r="H41">
        <v>6.05</v>
      </c>
      <c r="I41">
        <v>14217</v>
      </c>
    </row>
    <row r="42" spans="1:9" hidden="1">
      <c r="A42" s="7">
        <v>45537</v>
      </c>
      <c r="B42" t="s">
        <v>24</v>
      </c>
      <c r="C42">
        <v>1098</v>
      </c>
      <c r="D42">
        <v>142</v>
      </c>
      <c r="E42">
        <v>359150</v>
      </c>
      <c r="F42">
        <f>Engagement_Summary15[[#This Row],[New_Followers]]-Engagement_Summary15[[#This Row],[Unfollows]]</f>
        <v>956</v>
      </c>
      <c r="G42" s="36">
        <f>(task_2_unsplit_dataset[[#This Row],[Likes]]+task_2_unsplit_dataset[[#This Row],[Shares]]+task_2_unsplit_dataset[[#This Row],[Comments]])/Engagement_Summary15[[#This Row],[Ad_Spend]]</f>
        <v>0.20927677754043333</v>
      </c>
      <c r="H42">
        <v>7.51</v>
      </c>
      <c r="I42">
        <v>16385</v>
      </c>
    </row>
    <row r="43" spans="1:9" hidden="1">
      <c r="A43" s="7">
        <v>45537</v>
      </c>
      <c r="B43" t="s">
        <v>31</v>
      </c>
      <c r="C43">
        <v>1096</v>
      </c>
      <c r="D43">
        <v>65</v>
      </c>
      <c r="E43">
        <v>358295</v>
      </c>
      <c r="F43">
        <f>Engagement_Summary15[[#This Row],[New_Followers]]-Engagement_Summary15[[#This Row],[Unfollows]]</f>
        <v>1031</v>
      </c>
      <c r="G43" s="36">
        <f>(task_2_unsplit_dataset[[#This Row],[Likes]]+task_2_unsplit_dataset[[#This Row],[Shares]]+task_2_unsplit_dataset[[#This Row],[Comments]])/Engagement_Summary15[[#This Row],[Ad_Spend]]</f>
        <v>0.1259165716147955</v>
      </c>
      <c r="H43">
        <v>7.66</v>
      </c>
      <c r="I43">
        <v>24548</v>
      </c>
    </row>
    <row r="44" spans="1:9" hidden="1">
      <c r="A44" s="7">
        <v>45544</v>
      </c>
      <c r="B44" t="s">
        <v>14</v>
      </c>
      <c r="C44">
        <v>912</v>
      </c>
      <c r="D44">
        <v>275</v>
      </c>
      <c r="E44">
        <v>368454</v>
      </c>
      <c r="F44">
        <f>Engagement_Summary15[[#This Row],[New_Followers]]-Engagement_Summary15[[#This Row],[Unfollows]]</f>
        <v>637</v>
      </c>
      <c r="G44" s="36">
        <f>(task_2_unsplit_dataset[[#This Row],[Likes]]+task_2_unsplit_dataset[[#This Row],[Shares]]+task_2_unsplit_dataset[[#This Row],[Comments]])/Engagement_Summary15[[#This Row],[Ad_Spend]]</f>
        <v>0.51897770527460574</v>
      </c>
      <c r="H44">
        <v>6.03</v>
      </c>
      <c r="I44">
        <v>9195</v>
      </c>
    </row>
    <row r="45" spans="1:9" hidden="1">
      <c r="A45" s="7">
        <v>45544</v>
      </c>
      <c r="B45" t="s">
        <v>24</v>
      </c>
      <c r="C45">
        <v>1430</v>
      </c>
      <c r="D45">
        <v>162</v>
      </c>
      <c r="E45">
        <v>269082</v>
      </c>
      <c r="F45">
        <f>Engagement_Summary15[[#This Row],[New_Followers]]-Engagement_Summary15[[#This Row],[Unfollows]]</f>
        <v>1268</v>
      </c>
      <c r="G45" s="36">
        <f>(task_2_unsplit_dataset[[#This Row],[Likes]]+task_2_unsplit_dataset[[#This Row],[Shares]]+task_2_unsplit_dataset[[#This Row],[Comments]])/Engagement_Summary15[[#This Row],[Ad_Spend]]</f>
        <v>0.19611532289303304</v>
      </c>
      <c r="H45">
        <v>3.4</v>
      </c>
      <c r="I45">
        <v>18071</v>
      </c>
    </row>
    <row r="46" spans="1:9" hidden="1">
      <c r="A46" s="7">
        <v>45544</v>
      </c>
      <c r="B46" t="s">
        <v>31</v>
      </c>
      <c r="C46">
        <v>854</v>
      </c>
      <c r="D46">
        <v>129</v>
      </c>
      <c r="E46">
        <v>310903</v>
      </c>
      <c r="F46">
        <f>Engagement_Summary15[[#This Row],[New_Followers]]-Engagement_Summary15[[#This Row],[Unfollows]]</f>
        <v>725</v>
      </c>
      <c r="G46" s="36">
        <f>(task_2_unsplit_dataset[[#This Row],[Likes]]+task_2_unsplit_dataset[[#This Row],[Shares]]+task_2_unsplit_dataset[[#This Row],[Comments]])/Engagement_Summary15[[#This Row],[Ad_Spend]]</f>
        <v>0.29102222222222224</v>
      </c>
      <c r="H46">
        <v>7.83</v>
      </c>
      <c r="I46">
        <v>16875</v>
      </c>
    </row>
    <row r="47" spans="1:9" hidden="1">
      <c r="A47" s="7">
        <v>45551</v>
      </c>
      <c r="B47" t="s">
        <v>14</v>
      </c>
      <c r="C47">
        <v>681</v>
      </c>
      <c r="D47">
        <v>210</v>
      </c>
      <c r="E47">
        <v>248581</v>
      </c>
      <c r="F47">
        <f>Engagement_Summary15[[#This Row],[New_Followers]]-Engagement_Summary15[[#This Row],[Unfollows]]</f>
        <v>471</v>
      </c>
      <c r="G47" s="36">
        <f>(task_2_unsplit_dataset[[#This Row],[Likes]]+task_2_unsplit_dataset[[#This Row],[Shares]]+task_2_unsplit_dataset[[#This Row],[Comments]])/Engagement_Summary15[[#This Row],[Ad_Spend]]</f>
        <v>0.50276993832967487</v>
      </c>
      <c r="H47">
        <v>8.76</v>
      </c>
      <c r="I47">
        <v>9567</v>
      </c>
    </row>
    <row r="48" spans="1:9" hidden="1">
      <c r="A48" s="7">
        <v>45551</v>
      </c>
      <c r="B48" t="s">
        <v>24</v>
      </c>
      <c r="C48">
        <v>1373</v>
      </c>
      <c r="D48">
        <v>82</v>
      </c>
      <c r="E48">
        <v>371015</v>
      </c>
      <c r="F48">
        <f>Engagement_Summary15[[#This Row],[New_Followers]]-Engagement_Summary15[[#This Row],[Unfollows]]</f>
        <v>1291</v>
      </c>
      <c r="G48" s="36">
        <f>(task_2_unsplit_dataset[[#This Row],[Likes]]+task_2_unsplit_dataset[[#This Row],[Shares]]+task_2_unsplit_dataset[[#This Row],[Comments]])/Engagement_Summary15[[#This Row],[Ad_Spend]]</f>
        <v>0.21717718900817493</v>
      </c>
      <c r="H48">
        <v>9.52</v>
      </c>
      <c r="I48">
        <v>20306</v>
      </c>
    </row>
    <row r="49" spans="1:9" hidden="1">
      <c r="A49" s="7">
        <v>45551</v>
      </c>
      <c r="B49" t="s">
        <v>31</v>
      </c>
      <c r="C49">
        <v>685</v>
      </c>
      <c r="D49">
        <v>285</v>
      </c>
      <c r="E49">
        <v>177452</v>
      </c>
      <c r="F49">
        <f>Engagement_Summary15[[#This Row],[New_Followers]]-Engagement_Summary15[[#This Row],[Unfollows]]</f>
        <v>400</v>
      </c>
      <c r="G49" s="36">
        <f>(task_2_unsplit_dataset[[#This Row],[Likes]]+task_2_unsplit_dataset[[#This Row],[Shares]]+task_2_unsplit_dataset[[#This Row],[Comments]])/Engagement_Summary15[[#This Row],[Ad_Spend]]</f>
        <v>0.23743730481688274</v>
      </c>
      <c r="H49">
        <v>3.36</v>
      </c>
      <c r="I49">
        <v>21134</v>
      </c>
    </row>
    <row r="50" spans="1:9" hidden="1">
      <c r="A50" s="7">
        <v>45558</v>
      </c>
      <c r="B50" t="s">
        <v>14</v>
      </c>
      <c r="C50">
        <v>1290</v>
      </c>
      <c r="D50">
        <v>177</v>
      </c>
      <c r="E50">
        <v>80745</v>
      </c>
      <c r="F50">
        <f>Engagement_Summary15[[#This Row],[New_Followers]]-Engagement_Summary15[[#This Row],[Unfollows]]</f>
        <v>1113</v>
      </c>
      <c r="G50" s="36">
        <f>(task_2_unsplit_dataset[[#This Row],[Likes]]+task_2_unsplit_dataset[[#This Row],[Shares]]+task_2_unsplit_dataset[[#This Row],[Comments]])/Engagement_Summary15[[#This Row],[Ad_Spend]]</f>
        <v>0.16399970229234892</v>
      </c>
      <c r="H50">
        <v>9.2200000000000006</v>
      </c>
      <c r="I50">
        <v>26872</v>
      </c>
    </row>
    <row r="51" spans="1:9" hidden="1">
      <c r="A51" s="7">
        <v>45558</v>
      </c>
      <c r="B51" t="s">
        <v>24</v>
      </c>
      <c r="C51">
        <v>1437</v>
      </c>
      <c r="D51">
        <v>239</v>
      </c>
      <c r="E51">
        <v>362441</v>
      </c>
      <c r="F51">
        <f>Engagement_Summary15[[#This Row],[New_Followers]]-Engagement_Summary15[[#This Row],[Unfollows]]</f>
        <v>1198</v>
      </c>
      <c r="G51" s="36">
        <f>(task_2_unsplit_dataset[[#This Row],[Likes]]+task_2_unsplit_dataset[[#This Row],[Shares]]+task_2_unsplit_dataset[[#This Row],[Comments]])/Engagement_Summary15[[#This Row],[Ad_Spend]]</f>
        <v>0.42407100360869987</v>
      </c>
      <c r="H51">
        <v>5.57</v>
      </c>
      <c r="I51">
        <v>10253</v>
      </c>
    </row>
    <row r="52" spans="1:9" hidden="1">
      <c r="A52" s="7">
        <v>45558</v>
      </c>
      <c r="B52" t="s">
        <v>31</v>
      </c>
      <c r="C52">
        <v>769</v>
      </c>
      <c r="D52">
        <v>295</v>
      </c>
      <c r="E52">
        <v>344771</v>
      </c>
      <c r="F52">
        <f>Engagement_Summary15[[#This Row],[New_Followers]]-Engagement_Summary15[[#This Row],[Unfollows]]</f>
        <v>474</v>
      </c>
      <c r="G52" s="36">
        <f>(task_2_unsplit_dataset[[#This Row],[Likes]]+task_2_unsplit_dataset[[#This Row],[Shares]]+task_2_unsplit_dataset[[#This Row],[Comments]])/Engagement_Summary15[[#This Row],[Ad_Spend]]</f>
        <v>0.22664107165213038</v>
      </c>
      <c r="H52">
        <v>8.06</v>
      </c>
      <c r="I52">
        <v>23963</v>
      </c>
    </row>
    <row r="53" spans="1:9" hidden="1">
      <c r="A53" s="7">
        <v>45565</v>
      </c>
      <c r="B53" t="s">
        <v>14</v>
      </c>
      <c r="C53">
        <v>1416</v>
      </c>
      <c r="D53">
        <v>284</v>
      </c>
      <c r="E53">
        <v>374952</v>
      </c>
      <c r="F53">
        <f>Engagement_Summary15[[#This Row],[New_Followers]]-Engagement_Summary15[[#This Row],[Unfollows]]</f>
        <v>1132</v>
      </c>
      <c r="G53" s="36">
        <f>(task_2_unsplit_dataset[[#This Row],[Likes]]+task_2_unsplit_dataset[[#This Row],[Shares]]+task_2_unsplit_dataset[[#This Row],[Comments]])/Engagement_Summary15[[#This Row],[Ad_Spend]]</f>
        <v>0.49528010586678428</v>
      </c>
      <c r="H53">
        <v>3.45</v>
      </c>
      <c r="I53">
        <v>11335</v>
      </c>
    </row>
    <row r="54" spans="1:9" hidden="1">
      <c r="A54" s="7">
        <v>45565</v>
      </c>
      <c r="B54" t="s">
        <v>24</v>
      </c>
      <c r="C54">
        <v>998</v>
      </c>
      <c r="D54">
        <v>154</v>
      </c>
      <c r="E54">
        <v>179781</v>
      </c>
      <c r="F54">
        <f>Engagement_Summary15[[#This Row],[New_Followers]]-Engagement_Summary15[[#This Row],[Unfollows]]</f>
        <v>844</v>
      </c>
      <c r="G54" s="36">
        <f>(task_2_unsplit_dataset[[#This Row],[Likes]]+task_2_unsplit_dataset[[#This Row],[Shares]]+task_2_unsplit_dataset[[#This Row],[Comments]])/Engagement_Summary15[[#This Row],[Ad_Spend]]</f>
        <v>0.23260420965744943</v>
      </c>
      <c r="H54">
        <v>9.58</v>
      </c>
      <c r="I54">
        <v>12115</v>
      </c>
    </row>
    <row r="55" spans="1:9" hidden="1">
      <c r="A55" s="7">
        <v>45565</v>
      </c>
      <c r="B55" t="s">
        <v>31</v>
      </c>
      <c r="C55">
        <v>1421</v>
      </c>
      <c r="D55">
        <v>246</v>
      </c>
      <c r="E55">
        <v>358581</v>
      </c>
      <c r="F55">
        <f>Engagement_Summary15[[#This Row],[New_Followers]]-Engagement_Summary15[[#This Row],[Unfollows]]</f>
        <v>1175</v>
      </c>
      <c r="G55" s="36">
        <f>(task_2_unsplit_dataset[[#This Row],[Likes]]+task_2_unsplit_dataset[[#This Row],[Shares]]+task_2_unsplit_dataset[[#This Row],[Comments]])/Engagement_Summary15[[#This Row],[Ad_Spend]]</f>
        <v>0.10518104934723704</v>
      </c>
      <c r="H55">
        <v>8.8800000000000008</v>
      </c>
      <c r="I55">
        <v>24358</v>
      </c>
    </row>
    <row r="56" spans="1:9" hidden="1">
      <c r="A56" s="7">
        <v>45572</v>
      </c>
      <c r="B56" t="s">
        <v>14</v>
      </c>
      <c r="C56">
        <v>764</v>
      </c>
      <c r="D56">
        <v>205</v>
      </c>
      <c r="E56">
        <v>319294</v>
      </c>
      <c r="F56">
        <f>Engagement_Summary15[[#This Row],[New_Followers]]-Engagement_Summary15[[#This Row],[Unfollows]]</f>
        <v>559</v>
      </c>
      <c r="G56" s="36">
        <f>(task_2_unsplit_dataset[[#This Row],[Likes]]+task_2_unsplit_dataset[[#This Row],[Shares]]+task_2_unsplit_dataset[[#This Row],[Comments]])/Engagement_Summary15[[#This Row],[Ad_Spend]]</f>
        <v>0.30268450866102947</v>
      </c>
      <c r="H56">
        <v>6.23</v>
      </c>
      <c r="I56">
        <v>12181</v>
      </c>
    </row>
    <row r="57" spans="1:9" hidden="1">
      <c r="A57" s="7">
        <v>45572</v>
      </c>
      <c r="B57" t="s">
        <v>24</v>
      </c>
      <c r="C57">
        <v>678</v>
      </c>
      <c r="D57">
        <v>124</v>
      </c>
      <c r="E57">
        <v>192022</v>
      </c>
      <c r="F57">
        <f>Engagement_Summary15[[#This Row],[New_Followers]]-Engagement_Summary15[[#This Row],[Unfollows]]</f>
        <v>554</v>
      </c>
      <c r="G57" s="36">
        <f>(task_2_unsplit_dataset[[#This Row],[Likes]]+task_2_unsplit_dataset[[#This Row],[Shares]]+task_2_unsplit_dataset[[#This Row],[Comments]])/Engagement_Summary15[[#This Row],[Ad_Spend]]</f>
        <v>0.24998589880985955</v>
      </c>
      <c r="H57">
        <v>8.4499999999999993</v>
      </c>
      <c r="I57">
        <v>17729</v>
      </c>
    </row>
    <row r="58" spans="1:9" hidden="1">
      <c r="A58" s="7">
        <v>45572</v>
      </c>
      <c r="B58" t="s">
        <v>31</v>
      </c>
      <c r="C58">
        <v>1328</v>
      </c>
      <c r="D58">
        <v>103</v>
      </c>
      <c r="E58">
        <v>151462</v>
      </c>
      <c r="F58">
        <f>Engagement_Summary15[[#This Row],[New_Followers]]-Engagement_Summary15[[#This Row],[Unfollows]]</f>
        <v>1225</v>
      </c>
      <c r="G58" s="36">
        <f>(task_2_unsplit_dataset[[#This Row],[Likes]]+task_2_unsplit_dataset[[#This Row],[Shares]]+task_2_unsplit_dataset[[#This Row],[Comments]])/Engagement_Summary15[[#This Row],[Ad_Spend]]</f>
        <v>0.39637900928223507</v>
      </c>
      <c r="H58">
        <v>8.4</v>
      </c>
      <c r="I58">
        <v>10881</v>
      </c>
    </row>
    <row r="59" spans="1:9" hidden="1">
      <c r="A59" s="7">
        <v>45579</v>
      </c>
      <c r="B59" t="s">
        <v>14</v>
      </c>
      <c r="C59">
        <v>1161</v>
      </c>
      <c r="D59">
        <v>269</v>
      </c>
      <c r="E59">
        <v>188193</v>
      </c>
      <c r="F59">
        <f>Engagement_Summary15[[#This Row],[New_Followers]]-Engagement_Summary15[[#This Row],[Unfollows]]</f>
        <v>892</v>
      </c>
      <c r="G59" s="36">
        <f>(task_2_unsplit_dataset[[#This Row],[Likes]]+task_2_unsplit_dataset[[#This Row],[Shares]]+task_2_unsplit_dataset[[#This Row],[Comments]])/Engagement_Summary15[[#This Row],[Ad_Spend]]</f>
        <v>0.11477174849267872</v>
      </c>
      <c r="H59">
        <v>7.34</v>
      </c>
      <c r="I59">
        <v>18576</v>
      </c>
    </row>
    <row r="60" spans="1:9" hidden="1">
      <c r="A60" s="7">
        <v>45579</v>
      </c>
      <c r="B60" t="s">
        <v>24</v>
      </c>
      <c r="C60">
        <v>588</v>
      </c>
      <c r="D60">
        <v>52</v>
      </c>
      <c r="E60">
        <v>292040</v>
      </c>
      <c r="F60">
        <f>Engagement_Summary15[[#This Row],[New_Followers]]-Engagement_Summary15[[#This Row],[Unfollows]]</f>
        <v>536</v>
      </c>
      <c r="G60" s="36">
        <f>(task_2_unsplit_dataset[[#This Row],[Likes]]+task_2_unsplit_dataset[[#This Row],[Shares]]+task_2_unsplit_dataset[[#This Row],[Comments]])/Engagement_Summary15[[#This Row],[Ad_Spend]]</f>
        <v>0.27294042417137376</v>
      </c>
      <c r="H60">
        <v>8.14</v>
      </c>
      <c r="I60">
        <v>9383</v>
      </c>
    </row>
    <row r="61" spans="1:9" hidden="1">
      <c r="A61" s="7">
        <v>45579</v>
      </c>
      <c r="B61" t="s">
        <v>31</v>
      </c>
      <c r="C61">
        <v>1457</v>
      </c>
      <c r="D61">
        <v>215</v>
      </c>
      <c r="E61">
        <v>325325</v>
      </c>
      <c r="F61">
        <f>Engagement_Summary15[[#This Row],[New_Followers]]-Engagement_Summary15[[#This Row],[Unfollows]]</f>
        <v>1242</v>
      </c>
      <c r="G61" s="36">
        <f>(task_2_unsplit_dataset[[#This Row],[Likes]]+task_2_unsplit_dataset[[#This Row],[Shares]]+task_2_unsplit_dataset[[#This Row],[Comments]])/Engagement_Summary15[[#This Row],[Ad_Spend]]</f>
        <v>0.29813796022005923</v>
      </c>
      <c r="H61">
        <v>9.58</v>
      </c>
      <c r="I61">
        <v>14178</v>
      </c>
    </row>
    <row r="62" spans="1:9" hidden="1">
      <c r="A62" s="7">
        <v>45586</v>
      </c>
      <c r="B62" t="s">
        <v>14</v>
      </c>
      <c r="C62">
        <v>1190</v>
      </c>
      <c r="D62">
        <v>242</v>
      </c>
      <c r="E62">
        <v>86849</v>
      </c>
      <c r="F62">
        <f>Engagement_Summary15[[#This Row],[New_Followers]]-Engagement_Summary15[[#This Row],[Unfollows]]</f>
        <v>948</v>
      </c>
      <c r="G62" s="36">
        <f>(task_2_unsplit_dataset[[#This Row],[Likes]]+task_2_unsplit_dataset[[#This Row],[Shares]]+task_2_unsplit_dataset[[#This Row],[Comments]])/Engagement_Summary15[[#This Row],[Ad_Spend]]</f>
        <v>0.10031052978262915</v>
      </c>
      <c r="H62">
        <v>8.06</v>
      </c>
      <c r="I62">
        <v>21254</v>
      </c>
    </row>
    <row r="63" spans="1:9" hidden="1">
      <c r="A63" s="7">
        <v>45586</v>
      </c>
      <c r="B63" t="s">
        <v>24</v>
      </c>
      <c r="C63">
        <v>886</v>
      </c>
      <c r="D63">
        <v>124</v>
      </c>
      <c r="E63">
        <v>141161</v>
      </c>
      <c r="F63">
        <f>Engagement_Summary15[[#This Row],[New_Followers]]-Engagement_Summary15[[#This Row],[Unfollows]]</f>
        <v>762</v>
      </c>
      <c r="G63" s="36">
        <f>(task_2_unsplit_dataset[[#This Row],[Likes]]+task_2_unsplit_dataset[[#This Row],[Shares]]+task_2_unsplit_dataset[[#This Row],[Comments]])/Engagement_Summary15[[#This Row],[Ad_Spend]]</f>
        <v>0.20393950052761167</v>
      </c>
      <c r="H63">
        <v>8.19</v>
      </c>
      <c r="I63">
        <v>14215</v>
      </c>
    </row>
    <row r="64" spans="1:9" hidden="1">
      <c r="A64" s="7">
        <v>45586</v>
      </c>
      <c r="B64" t="s">
        <v>31</v>
      </c>
      <c r="C64">
        <v>1237</v>
      </c>
      <c r="D64">
        <v>155</v>
      </c>
      <c r="E64">
        <v>149916</v>
      </c>
      <c r="F64">
        <f>Engagement_Summary15[[#This Row],[New_Followers]]-Engagement_Summary15[[#This Row],[Unfollows]]</f>
        <v>1082</v>
      </c>
      <c r="G64" s="36">
        <f>(task_2_unsplit_dataset[[#This Row],[Likes]]+task_2_unsplit_dataset[[#This Row],[Shares]]+task_2_unsplit_dataset[[#This Row],[Comments]])/Engagement_Summary15[[#This Row],[Ad_Spend]]</f>
        <v>0.18349979315643283</v>
      </c>
      <c r="H64">
        <v>4.4800000000000004</v>
      </c>
      <c r="I64">
        <v>16921</v>
      </c>
    </row>
    <row r="65" spans="1:9" hidden="1">
      <c r="A65" s="7">
        <v>45593</v>
      </c>
      <c r="B65" t="s">
        <v>14</v>
      </c>
      <c r="C65">
        <v>1435</v>
      </c>
      <c r="D65">
        <v>261</v>
      </c>
      <c r="E65">
        <v>308533</v>
      </c>
      <c r="F65">
        <f>Engagement_Summary15[[#This Row],[New_Followers]]-Engagement_Summary15[[#This Row],[Unfollows]]</f>
        <v>1174</v>
      </c>
      <c r="G65" s="36">
        <f>(task_2_unsplit_dataset[[#This Row],[Likes]]+task_2_unsplit_dataset[[#This Row],[Shares]]+task_2_unsplit_dataset[[#This Row],[Comments]])/Engagement_Summary15[[#This Row],[Ad_Spend]]</f>
        <v>8.5555113410266614E-2</v>
      </c>
      <c r="H65">
        <v>4.5199999999999996</v>
      </c>
      <c r="I65">
        <v>25130</v>
      </c>
    </row>
    <row r="66" spans="1:9" hidden="1">
      <c r="A66" s="7">
        <v>45593</v>
      </c>
      <c r="B66" t="s">
        <v>24</v>
      </c>
      <c r="C66">
        <v>746</v>
      </c>
      <c r="D66">
        <v>282</v>
      </c>
      <c r="E66">
        <v>293894</v>
      </c>
      <c r="F66">
        <f>Engagement_Summary15[[#This Row],[New_Followers]]-Engagement_Summary15[[#This Row],[Unfollows]]</f>
        <v>464</v>
      </c>
      <c r="G66" s="36">
        <f>(task_2_unsplit_dataset[[#This Row],[Likes]]+task_2_unsplit_dataset[[#This Row],[Shares]]+task_2_unsplit_dataset[[#This Row],[Comments]])/Engagement_Summary15[[#This Row],[Ad_Spend]]</f>
        <v>9.2179974155147434E-2</v>
      </c>
      <c r="H66">
        <v>5.42</v>
      </c>
      <c r="I66">
        <v>25537</v>
      </c>
    </row>
    <row r="67" spans="1:9" hidden="1">
      <c r="A67" s="7">
        <v>45593</v>
      </c>
      <c r="B67" t="s">
        <v>31</v>
      </c>
      <c r="C67">
        <v>759</v>
      </c>
      <c r="D67">
        <v>216</v>
      </c>
      <c r="E67">
        <v>147656</v>
      </c>
      <c r="F67">
        <f>Engagement_Summary15[[#This Row],[New_Followers]]-Engagement_Summary15[[#This Row],[Unfollows]]</f>
        <v>543</v>
      </c>
      <c r="G67" s="36">
        <f>(task_2_unsplit_dataset[[#This Row],[Likes]]+task_2_unsplit_dataset[[#This Row],[Shares]]+task_2_unsplit_dataset[[#This Row],[Comments]])/Engagement_Summary15[[#This Row],[Ad_Spend]]</f>
        <v>0.12364190354007136</v>
      </c>
      <c r="H67">
        <v>4.08</v>
      </c>
      <c r="I67">
        <v>24943</v>
      </c>
    </row>
    <row r="68" spans="1:9" hidden="1">
      <c r="A68" s="7">
        <v>45600</v>
      </c>
      <c r="B68" t="s">
        <v>14</v>
      </c>
      <c r="C68">
        <v>1437</v>
      </c>
      <c r="D68">
        <v>235</v>
      </c>
      <c r="E68">
        <v>326791</v>
      </c>
      <c r="F68">
        <f>Engagement_Summary15[[#This Row],[New_Followers]]-Engagement_Summary15[[#This Row],[Unfollows]]</f>
        <v>1202</v>
      </c>
      <c r="G68" s="36">
        <f>(task_2_unsplit_dataset[[#This Row],[Likes]]+task_2_unsplit_dataset[[#This Row],[Shares]]+task_2_unsplit_dataset[[#This Row],[Comments]])/Engagement_Summary15[[#This Row],[Ad_Spend]]</f>
        <v>0.10924946782943075</v>
      </c>
      <c r="H68">
        <v>4.0599999999999996</v>
      </c>
      <c r="I68">
        <v>14563</v>
      </c>
    </row>
    <row r="69" spans="1:9" hidden="1">
      <c r="A69" s="7">
        <v>45866</v>
      </c>
      <c r="B69" t="s">
        <v>31</v>
      </c>
      <c r="C69">
        <v>1490</v>
      </c>
      <c r="D69">
        <v>103</v>
      </c>
      <c r="E69">
        <v>81184</v>
      </c>
      <c r="F69">
        <f>Engagement_Summary15[[#This Row],[New_Followers]]-Engagement_Summary15[[#This Row],[Unfollows]]</f>
        <v>1387</v>
      </c>
      <c r="G69" s="36">
        <f>(task_2_unsplit_dataset[[#This Row],[Likes]]+task_2_unsplit_dataset[[#This Row],[Shares]]+task_2_unsplit_dataset[[#This Row],[Comments]])/Engagement_Summary15[[#This Row],[Ad_Spend]]</f>
        <v>0.19998127516150174</v>
      </c>
      <c r="H69">
        <v>7.79</v>
      </c>
      <c r="I69">
        <v>10681</v>
      </c>
    </row>
    <row r="70" spans="1:9" hidden="1">
      <c r="A70" s="7">
        <v>45600</v>
      </c>
      <c r="B70" t="s">
        <v>31</v>
      </c>
      <c r="C70">
        <v>1208</v>
      </c>
      <c r="D70">
        <v>224</v>
      </c>
      <c r="E70">
        <v>122730</v>
      </c>
      <c r="F70">
        <f>Engagement_Summary15[[#This Row],[New_Followers]]-Engagement_Summary15[[#This Row],[Unfollows]]</f>
        <v>984</v>
      </c>
      <c r="G70" s="36">
        <f>(task_2_unsplit_dataset[[#This Row],[Likes]]+task_2_unsplit_dataset[[#This Row],[Shares]]+task_2_unsplit_dataset[[#This Row],[Comments]])/Engagement_Summary15[[#This Row],[Ad_Spend]]</f>
        <v>0.42226929452937928</v>
      </c>
      <c r="H70">
        <v>8.7200000000000006</v>
      </c>
      <c r="I70">
        <v>10858</v>
      </c>
    </row>
    <row r="71" spans="1:9" hidden="1">
      <c r="A71" s="7">
        <v>45607</v>
      </c>
      <c r="B71" t="s">
        <v>14</v>
      </c>
      <c r="C71">
        <v>1391</v>
      </c>
      <c r="D71">
        <v>187</v>
      </c>
      <c r="E71">
        <v>306508</v>
      </c>
      <c r="F71">
        <f>Engagement_Summary15[[#This Row],[New_Followers]]-Engagement_Summary15[[#This Row],[Unfollows]]</f>
        <v>1204</v>
      </c>
      <c r="G71" s="36">
        <f>(task_2_unsplit_dataset[[#This Row],[Likes]]+task_2_unsplit_dataset[[#This Row],[Shares]]+task_2_unsplit_dataset[[#This Row],[Comments]])/Engagement_Summary15[[#This Row],[Ad_Spend]]</f>
        <v>0.2088026200175733</v>
      </c>
      <c r="H71">
        <v>8.3800000000000008</v>
      </c>
      <c r="I71">
        <v>25038</v>
      </c>
    </row>
    <row r="72" spans="1:9" hidden="1">
      <c r="A72" s="7">
        <v>45607</v>
      </c>
      <c r="B72" t="s">
        <v>24</v>
      </c>
      <c r="C72">
        <v>655</v>
      </c>
      <c r="D72">
        <v>123</v>
      </c>
      <c r="E72">
        <v>202472</v>
      </c>
      <c r="F72">
        <f>Engagement_Summary15[[#This Row],[New_Followers]]-Engagement_Summary15[[#This Row],[Unfollows]]</f>
        <v>532</v>
      </c>
      <c r="G72" s="36">
        <f>(task_2_unsplit_dataset[[#This Row],[Likes]]+task_2_unsplit_dataset[[#This Row],[Shares]]+task_2_unsplit_dataset[[#This Row],[Comments]])/Engagement_Summary15[[#This Row],[Ad_Spend]]</f>
        <v>0.25934887813462387</v>
      </c>
      <c r="H72">
        <v>7.56</v>
      </c>
      <c r="I72">
        <v>9092</v>
      </c>
    </row>
    <row r="73" spans="1:9" hidden="1">
      <c r="A73" s="7">
        <v>45607</v>
      </c>
      <c r="B73" t="s">
        <v>31</v>
      </c>
      <c r="C73">
        <v>1148</v>
      </c>
      <c r="D73">
        <v>90</v>
      </c>
      <c r="E73">
        <v>227249</v>
      </c>
      <c r="F73">
        <f>Engagement_Summary15[[#This Row],[New_Followers]]-Engagement_Summary15[[#This Row],[Unfollows]]</f>
        <v>1058</v>
      </c>
      <c r="G73" s="36">
        <f>(task_2_unsplit_dataset[[#This Row],[Likes]]+task_2_unsplit_dataset[[#This Row],[Shares]]+task_2_unsplit_dataset[[#This Row],[Comments]])/Engagement_Summary15[[#This Row],[Ad_Spend]]</f>
        <v>0.27743177443098177</v>
      </c>
      <c r="H73">
        <v>7.24</v>
      </c>
      <c r="I73">
        <v>17662</v>
      </c>
    </row>
    <row r="74" spans="1:9" hidden="1">
      <c r="A74" s="7">
        <v>45614</v>
      </c>
      <c r="B74" t="s">
        <v>14</v>
      </c>
      <c r="C74">
        <v>946</v>
      </c>
      <c r="D74">
        <v>270</v>
      </c>
      <c r="E74">
        <v>246567</v>
      </c>
      <c r="F74">
        <f>Engagement_Summary15[[#This Row],[New_Followers]]-Engagement_Summary15[[#This Row],[Unfollows]]</f>
        <v>676</v>
      </c>
      <c r="G74" s="36">
        <f>(task_2_unsplit_dataset[[#This Row],[Likes]]+task_2_unsplit_dataset[[#This Row],[Shares]]+task_2_unsplit_dataset[[#This Row],[Comments]])/Engagement_Summary15[[#This Row],[Ad_Spend]]</f>
        <v>0.45611073598919649</v>
      </c>
      <c r="H74">
        <v>4.53</v>
      </c>
      <c r="I74">
        <v>5924</v>
      </c>
    </row>
    <row r="75" spans="1:9" hidden="1">
      <c r="A75" s="7">
        <v>45614</v>
      </c>
      <c r="B75" t="s">
        <v>24</v>
      </c>
      <c r="C75">
        <v>791</v>
      </c>
      <c r="D75">
        <v>214</v>
      </c>
      <c r="E75">
        <v>114738</v>
      </c>
      <c r="F75">
        <f>Engagement_Summary15[[#This Row],[New_Followers]]-Engagement_Summary15[[#This Row],[Unfollows]]</f>
        <v>577</v>
      </c>
      <c r="G75" s="36">
        <f>(task_2_unsplit_dataset[[#This Row],[Likes]]+task_2_unsplit_dataset[[#This Row],[Shares]]+task_2_unsplit_dataset[[#This Row],[Comments]])/Engagement_Summary15[[#This Row],[Ad_Spend]]</f>
        <v>0.11677910600860063</v>
      </c>
      <c r="H75">
        <v>6.62</v>
      </c>
      <c r="I75">
        <v>25347</v>
      </c>
    </row>
    <row r="76" spans="1:9">
      <c r="A76" s="7">
        <v>45516</v>
      </c>
      <c r="B76" t="s">
        <v>14</v>
      </c>
      <c r="C76">
        <v>1060</v>
      </c>
      <c r="D76">
        <v>83</v>
      </c>
      <c r="E76">
        <v>68724</v>
      </c>
      <c r="F76">
        <f>Engagement_Summary15[[#This Row],[New_Followers]]-Engagement_Summary15[[#This Row],[Unfollows]]</f>
        <v>977</v>
      </c>
      <c r="G76" s="36">
        <f>(task_2_unsplit_dataset[[#This Row],[Likes]]+task_2_unsplit_dataset[[#This Row],[Shares]]+task_2_unsplit_dataset[[#This Row],[Comments]])/Engagement_Summary15[[#This Row],[Ad_Spend]]</f>
        <v>0.91145092460881938</v>
      </c>
      <c r="H76">
        <v>5.98</v>
      </c>
      <c r="I76">
        <v>5624</v>
      </c>
    </row>
    <row r="77" spans="1:9" hidden="1">
      <c r="A77" s="7">
        <v>45621</v>
      </c>
      <c r="B77" t="s">
        <v>14</v>
      </c>
      <c r="C77">
        <v>663</v>
      </c>
      <c r="D77">
        <v>213</v>
      </c>
      <c r="E77">
        <v>352677</v>
      </c>
      <c r="F77">
        <f>Engagement_Summary15[[#This Row],[New_Followers]]-Engagement_Summary15[[#This Row],[Unfollows]]</f>
        <v>450</v>
      </c>
      <c r="G77" s="36">
        <f>(task_2_unsplit_dataset[[#This Row],[Likes]]+task_2_unsplit_dataset[[#This Row],[Shares]]+task_2_unsplit_dataset[[#This Row],[Comments]])/Engagement_Summary15[[#This Row],[Ad_Spend]]</f>
        <v>0.27013406399843432</v>
      </c>
      <c r="H77">
        <v>9</v>
      </c>
      <c r="I77">
        <v>20438</v>
      </c>
    </row>
    <row r="78" spans="1:9">
      <c r="A78" s="7">
        <v>45705</v>
      </c>
      <c r="B78" t="s">
        <v>31</v>
      </c>
      <c r="C78">
        <v>646</v>
      </c>
      <c r="D78">
        <v>290</v>
      </c>
      <c r="E78">
        <v>336383</v>
      </c>
      <c r="F78">
        <f>Engagement_Summary15[[#This Row],[New_Followers]]-Engagement_Summary15[[#This Row],[Unfollows]]</f>
        <v>356</v>
      </c>
      <c r="G78" s="36">
        <f>(task_2_unsplit_dataset[[#This Row],[Likes]]+task_2_unsplit_dataset[[#This Row],[Shares]]+task_2_unsplit_dataset[[#This Row],[Comments]])/Engagement_Summary15[[#This Row],[Ad_Spend]]</f>
        <v>0.76117575015309247</v>
      </c>
      <c r="H78">
        <v>7.04</v>
      </c>
      <c r="I78">
        <v>6532</v>
      </c>
    </row>
    <row r="79" spans="1:9">
      <c r="A79" s="7">
        <v>45677</v>
      </c>
      <c r="B79" t="s">
        <v>24</v>
      </c>
      <c r="C79">
        <v>841</v>
      </c>
      <c r="D79">
        <v>295</v>
      </c>
      <c r="E79">
        <v>271638</v>
      </c>
      <c r="F79">
        <f>Engagement_Summary15[[#This Row],[New_Followers]]-Engagement_Summary15[[#This Row],[Unfollows]]</f>
        <v>546</v>
      </c>
      <c r="G79" s="36">
        <f>(task_2_unsplit_dataset[[#This Row],[Likes]]+task_2_unsplit_dataset[[#This Row],[Shares]]+task_2_unsplit_dataset[[#This Row],[Comments]])/Engagement_Summary15[[#This Row],[Ad_Spend]]</f>
        <v>0.66084745762711861</v>
      </c>
      <c r="H79">
        <v>9.15</v>
      </c>
      <c r="I79">
        <v>5900</v>
      </c>
    </row>
    <row r="80" spans="1:9" hidden="1">
      <c r="A80" s="7">
        <v>45628</v>
      </c>
      <c r="B80" t="s">
        <v>14</v>
      </c>
      <c r="C80">
        <v>895</v>
      </c>
      <c r="D80">
        <v>87</v>
      </c>
      <c r="E80">
        <v>171271</v>
      </c>
      <c r="F80">
        <f>Engagement_Summary15[[#This Row],[New_Followers]]-Engagement_Summary15[[#This Row],[Unfollows]]</f>
        <v>808</v>
      </c>
      <c r="G80" s="36">
        <f>(task_2_unsplit_dataset[[#This Row],[Likes]]+task_2_unsplit_dataset[[#This Row],[Shares]]+task_2_unsplit_dataset[[#This Row],[Comments]])/Engagement_Summary15[[#This Row],[Ad_Spend]]</f>
        <v>0.10969179990569677</v>
      </c>
      <c r="H80">
        <v>6.68</v>
      </c>
      <c r="I80">
        <v>23329</v>
      </c>
    </row>
    <row r="81" spans="1:9">
      <c r="A81" s="7">
        <v>45509</v>
      </c>
      <c r="B81" t="s">
        <v>31</v>
      </c>
      <c r="C81">
        <v>937</v>
      </c>
      <c r="D81">
        <v>179</v>
      </c>
      <c r="E81">
        <v>318098</v>
      </c>
      <c r="F81">
        <f>Engagement_Summary15[[#This Row],[New_Followers]]-Engagement_Summary15[[#This Row],[Unfollows]]</f>
        <v>758</v>
      </c>
      <c r="G81" s="36">
        <f>(task_2_unsplit_dataset[[#This Row],[Likes]]+task_2_unsplit_dataset[[#This Row],[Shares]]+task_2_unsplit_dataset[[#This Row],[Comments]])/Engagement_Summary15[[#This Row],[Ad_Spend]]</f>
        <v>0.84681288553803979</v>
      </c>
      <c r="H81">
        <v>5.3</v>
      </c>
      <c r="I81">
        <v>5836</v>
      </c>
    </row>
    <row r="82" spans="1:9" hidden="1">
      <c r="A82" s="7">
        <v>45628</v>
      </c>
      <c r="B82" t="s">
        <v>31</v>
      </c>
      <c r="C82">
        <v>990</v>
      </c>
      <c r="D82">
        <v>286</v>
      </c>
      <c r="E82">
        <v>351493</v>
      </c>
      <c r="F82">
        <f>Engagement_Summary15[[#This Row],[New_Followers]]-Engagement_Summary15[[#This Row],[Unfollows]]</f>
        <v>704</v>
      </c>
      <c r="G82" s="36">
        <f>(task_2_unsplit_dataset[[#This Row],[Likes]]+task_2_unsplit_dataset[[#This Row],[Shares]]+task_2_unsplit_dataset[[#This Row],[Comments]])/Engagement_Summary15[[#This Row],[Ad_Spend]]</f>
        <v>0.17115066225165562</v>
      </c>
      <c r="H82">
        <v>7.97</v>
      </c>
      <c r="I82">
        <v>14496</v>
      </c>
    </row>
    <row r="83" spans="1:9" hidden="1">
      <c r="A83" s="7">
        <v>45635</v>
      </c>
      <c r="B83" t="s">
        <v>14</v>
      </c>
      <c r="C83">
        <v>875</v>
      </c>
      <c r="D83">
        <v>264</v>
      </c>
      <c r="E83">
        <v>345631</v>
      </c>
      <c r="F83">
        <f>Engagement_Summary15[[#This Row],[New_Followers]]-Engagement_Summary15[[#This Row],[Unfollows]]</f>
        <v>611</v>
      </c>
      <c r="G83" s="36">
        <f>(task_2_unsplit_dataset[[#This Row],[Likes]]+task_2_unsplit_dataset[[#This Row],[Shares]]+task_2_unsplit_dataset[[#This Row],[Comments]])/Engagement_Summary15[[#This Row],[Ad_Spend]]</f>
        <v>0.13784383145936271</v>
      </c>
      <c r="H83">
        <v>9.18</v>
      </c>
      <c r="I83">
        <v>25703</v>
      </c>
    </row>
    <row r="84" spans="1:9" hidden="1">
      <c r="A84" s="7">
        <v>45635</v>
      </c>
      <c r="B84" t="s">
        <v>24</v>
      </c>
      <c r="C84">
        <v>599</v>
      </c>
      <c r="D84">
        <v>194</v>
      </c>
      <c r="E84">
        <v>105622</v>
      </c>
      <c r="F84">
        <f>Engagement_Summary15[[#This Row],[New_Followers]]-Engagement_Summary15[[#This Row],[Unfollows]]</f>
        <v>405</v>
      </c>
      <c r="G84" s="36">
        <f>(task_2_unsplit_dataset[[#This Row],[Likes]]+task_2_unsplit_dataset[[#This Row],[Shares]]+task_2_unsplit_dataset[[#This Row],[Comments]])/Engagement_Summary15[[#This Row],[Ad_Spend]]</f>
        <v>0.18606036536934076</v>
      </c>
      <c r="H84">
        <v>6.44</v>
      </c>
      <c r="I84">
        <v>15108</v>
      </c>
    </row>
    <row r="85" spans="1:9" hidden="1">
      <c r="A85" s="7">
        <v>45635</v>
      </c>
      <c r="B85" t="s">
        <v>31</v>
      </c>
      <c r="C85">
        <v>630</v>
      </c>
      <c r="D85">
        <v>248</v>
      </c>
      <c r="E85">
        <v>119054</v>
      </c>
      <c r="F85">
        <f>Engagement_Summary15[[#This Row],[New_Followers]]-Engagement_Summary15[[#This Row],[Unfollows]]</f>
        <v>382</v>
      </c>
      <c r="G85" s="36">
        <f>(task_2_unsplit_dataset[[#This Row],[Likes]]+task_2_unsplit_dataset[[#This Row],[Shares]]+task_2_unsplit_dataset[[#This Row],[Comments]])/Engagement_Summary15[[#This Row],[Ad_Spend]]</f>
        <v>0.15672867970530557</v>
      </c>
      <c r="H85">
        <v>5.0199999999999996</v>
      </c>
      <c r="I85">
        <v>18867</v>
      </c>
    </row>
    <row r="86" spans="1:9" hidden="1">
      <c r="A86" s="7">
        <v>45642</v>
      </c>
      <c r="B86" t="s">
        <v>14</v>
      </c>
      <c r="C86">
        <v>1350</v>
      </c>
      <c r="D86">
        <v>233</v>
      </c>
      <c r="E86">
        <v>171670</v>
      </c>
      <c r="F86">
        <f>Engagement_Summary15[[#This Row],[New_Followers]]-Engagement_Summary15[[#This Row],[Unfollows]]</f>
        <v>1117</v>
      </c>
      <c r="G86" s="36">
        <f>(task_2_unsplit_dataset[[#This Row],[Likes]]+task_2_unsplit_dataset[[#This Row],[Shares]]+task_2_unsplit_dataset[[#This Row],[Comments]])/Engagement_Summary15[[#This Row],[Ad_Spend]]</f>
        <v>0.16797541823147832</v>
      </c>
      <c r="H86">
        <v>4.53</v>
      </c>
      <c r="I86">
        <v>17574</v>
      </c>
    </row>
    <row r="87" spans="1:9" hidden="1">
      <c r="A87" s="7">
        <v>45642</v>
      </c>
      <c r="B87" t="s">
        <v>24</v>
      </c>
      <c r="C87">
        <v>632</v>
      </c>
      <c r="D87">
        <v>155</v>
      </c>
      <c r="E87">
        <v>170432</v>
      </c>
      <c r="F87">
        <f>Engagement_Summary15[[#This Row],[New_Followers]]-Engagement_Summary15[[#This Row],[Unfollows]]</f>
        <v>477</v>
      </c>
      <c r="G87" s="36">
        <f>(task_2_unsplit_dataset[[#This Row],[Likes]]+task_2_unsplit_dataset[[#This Row],[Shares]]+task_2_unsplit_dataset[[#This Row],[Comments]])/Engagement_Summary15[[#This Row],[Ad_Spend]]</f>
        <v>0.21261682242990654</v>
      </c>
      <c r="H87">
        <v>9.17</v>
      </c>
      <c r="I87">
        <v>12840</v>
      </c>
    </row>
    <row r="88" spans="1:9" hidden="1">
      <c r="A88" s="7">
        <v>45642</v>
      </c>
      <c r="B88" t="s">
        <v>31</v>
      </c>
      <c r="C88">
        <v>1182</v>
      </c>
      <c r="D88">
        <v>83</v>
      </c>
      <c r="E88">
        <v>140300</v>
      </c>
      <c r="F88">
        <f>Engagement_Summary15[[#This Row],[New_Followers]]-Engagement_Summary15[[#This Row],[Unfollows]]</f>
        <v>1099</v>
      </c>
      <c r="G88" s="36">
        <f>(task_2_unsplit_dataset[[#This Row],[Likes]]+task_2_unsplit_dataset[[#This Row],[Shares]]+task_2_unsplit_dataset[[#This Row],[Comments]])/Engagement_Summary15[[#This Row],[Ad_Spend]]</f>
        <v>0.26139759950661795</v>
      </c>
      <c r="H88">
        <v>3.27</v>
      </c>
      <c r="I88">
        <v>21079</v>
      </c>
    </row>
    <row r="89" spans="1:9" hidden="1">
      <c r="A89" s="7">
        <v>45649</v>
      </c>
      <c r="B89" t="s">
        <v>14</v>
      </c>
      <c r="C89">
        <v>661</v>
      </c>
      <c r="D89">
        <v>94</v>
      </c>
      <c r="E89">
        <v>116538</v>
      </c>
      <c r="F89">
        <f>Engagement_Summary15[[#This Row],[New_Followers]]-Engagement_Summary15[[#This Row],[Unfollows]]</f>
        <v>567</v>
      </c>
      <c r="G89" s="36">
        <f>(task_2_unsplit_dataset[[#This Row],[Likes]]+task_2_unsplit_dataset[[#This Row],[Shares]]+task_2_unsplit_dataset[[#This Row],[Comments]])/Engagement_Summary15[[#This Row],[Ad_Spend]]</f>
        <v>0.20590990377246018</v>
      </c>
      <c r="H89">
        <v>5.31</v>
      </c>
      <c r="I89">
        <v>23486</v>
      </c>
    </row>
    <row r="90" spans="1:9" hidden="1">
      <c r="A90" s="7">
        <v>45649</v>
      </c>
      <c r="B90" t="s">
        <v>24</v>
      </c>
      <c r="C90">
        <v>1360</v>
      </c>
      <c r="D90">
        <v>227</v>
      </c>
      <c r="E90">
        <v>176902</v>
      </c>
      <c r="F90">
        <f>Engagement_Summary15[[#This Row],[New_Followers]]-Engagement_Summary15[[#This Row],[Unfollows]]</f>
        <v>1133</v>
      </c>
      <c r="G90" s="36">
        <f>(task_2_unsplit_dataset[[#This Row],[Likes]]+task_2_unsplit_dataset[[#This Row],[Shares]]+task_2_unsplit_dataset[[#This Row],[Comments]])/Engagement_Summary15[[#This Row],[Ad_Spend]]</f>
        <v>0.32684563758389262</v>
      </c>
      <c r="H90">
        <v>6.03</v>
      </c>
      <c r="I90">
        <v>5960</v>
      </c>
    </row>
    <row r="91" spans="1:9" hidden="1">
      <c r="A91" s="7">
        <v>45649</v>
      </c>
      <c r="B91" t="s">
        <v>31</v>
      </c>
      <c r="C91">
        <v>935</v>
      </c>
      <c r="D91">
        <v>85</v>
      </c>
      <c r="E91">
        <v>326821</v>
      </c>
      <c r="F91">
        <f>Engagement_Summary15[[#This Row],[New_Followers]]-Engagement_Summary15[[#This Row],[Unfollows]]</f>
        <v>850</v>
      </c>
      <c r="G91" s="36">
        <f>(task_2_unsplit_dataset[[#This Row],[Likes]]+task_2_unsplit_dataset[[#This Row],[Shares]]+task_2_unsplit_dataset[[#This Row],[Comments]])/Engagement_Summary15[[#This Row],[Ad_Spend]]</f>
        <v>0.29193293737312986</v>
      </c>
      <c r="H91">
        <v>8.89</v>
      </c>
      <c r="I91">
        <v>13301</v>
      </c>
    </row>
    <row r="92" spans="1:9" hidden="1">
      <c r="A92" s="7">
        <v>45656</v>
      </c>
      <c r="B92" t="s">
        <v>14</v>
      </c>
      <c r="C92">
        <v>664</v>
      </c>
      <c r="D92">
        <v>251</v>
      </c>
      <c r="E92">
        <v>240598</v>
      </c>
      <c r="F92">
        <f>Engagement_Summary15[[#This Row],[New_Followers]]-Engagement_Summary15[[#This Row],[Unfollows]]</f>
        <v>413</v>
      </c>
      <c r="G92" s="36">
        <f>(task_2_unsplit_dataset[[#This Row],[Likes]]+task_2_unsplit_dataset[[#This Row],[Shares]]+task_2_unsplit_dataset[[#This Row],[Comments]])/Engagement_Summary15[[#This Row],[Ad_Spend]]</f>
        <v>0.24424879295654645</v>
      </c>
      <c r="H92">
        <v>4.79</v>
      </c>
      <c r="I92">
        <v>10563</v>
      </c>
    </row>
    <row r="93" spans="1:9" hidden="1">
      <c r="A93" s="7">
        <v>45481</v>
      </c>
      <c r="B93" t="s">
        <v>24</v>
      </c>
      <c r="C93">
        <v>1471</v>
      </c>
      <c r="D93">
        <v>100</v>
      </c>
      <c r="E93">
        <v>76866</v>
      </c>
      <c r="F93">
        <f>Engagement_Summary15[[#This Row],[New_Followers]]-Engagement_Summary15[[#This Row],[Unfollows]]</f>
        <v>1371</v>
      </c>
      <c r="G93" s="36">
        <f>(task_2_unsplit_dataset[[#This Row],[Likes]]+task_2_unsplit_dataset[[#This Row],[Shares]]+task_2_unsplit_dataset[[#This Row],[Comments]])/Engagement_Summary15[[#This Row],[Ad_Spend]]</f>
        <v>0.25992228698306968</v>
      </c>
      <c r="H93">
        <v>8.5500000000000007</v>
      </c>
      <c r="I93">
        <v>14412</v>
      </c>
    </row>
    <row r="94" spans="1:9" hidden="1">
      <c r="A94" s="7">
        <v>45656</v>
      </c>
      <c r="B94" t="s">
        <v>31</v>
      </c>
      <c r="C94">
        <v>601</v>
      </c>
      <c r="D94">
        <v>64</v>
      </c>
      <c r="E94">
        <v>123272</v>
      </c>
      <c r="F94">
        <f>Engagement_Summary15[[#This Row],[New_Followers]]-Engagement_Summary15[[#This Row],[Unfollows]]</f>
        <v>537</v>
      </c>
      <c r="G94" s="36">
        <f>(task_2_unsplit_dataset[[#This Row],[Likes]]+task_2_unsplit_dataset[[#This Row],[Shares]]+task_2_unsplit_dataset[[#This Row],[Comments]])/Engagement_Summary15[[#This Row],[Ad_Spend]]</f>
        <v>0.13199747775520213</v>
      </c>
      <c r="H94">
        <v>4.07</v>
      </c>
      <c r="I94">
        <v>14273</v>
      </c>
    </row>
    <row r="95" spans="1:9" hidden="1">
      <c r="A95" s="7">
        <v>45663</v>
      </c>
      <c r="B95" t="s">
        <v>14</v>
      </c>
      <c r="C95">
        <v>613</v>
      </c>
      <c r="D95">
        <v>170</v>
      </c>
      <c r="E95">
        <v>139266</v>
      </c>
      <c r="F95">
        <f>Engagement_Summary15[[#This Row],[New_Followers]]-Engagement_Summary15[[#This Row],[Unfollows]]</f>
        <v>443</v>
      </c>
      <c r="G95" s="36">
        <f>(task_2_unsplit_dataset[[#This Row],[Likes]]+task_2_unsplit_dataset[[#This Row],[Shares]]+task_2_unsplit_dataset[[#This Row],[Comments]])/Engagement_Summary15[[#This Row],[Ad_Spend]]</f>
        <v>0.33470314696658376</v>
      </c>
      <c r="H95">
        <v>6.06</v>
      </c>
      <c r="I95">
        <v>9247</v>
      </c>
    </row>
    <row r="96" spans="1:9" hidden="1">
      <c r="A96" s="7">
        <v>45663</v>
      </c>
      <c r="B96" t="s">
        <v>24</v>
      </c>
      <c r="C96">
        <v>1340</v>
      </c>
      <c r="D96">
        <v>57</v>
      </c>
      <c r="E96">
        <v>155927</v>
      </c>
      <c r="F96">
        <f>Engagement_Summary15[[#This Row],[New_Followers]]-Engagement_Summary15[[#This Row],[Unfollows]]</f>
        <v>1283</v>
      </c>
      <c r="G96" s="36">
        <f>(task_2_unsplit_dataset[[#This Row],[Likes]]+task_2_unsplit_dataset[[#This Row],[Shares]]+task_2_unsplit_dataset[[#This Row],[Comments]])/Engagement_Summary15[[#This Row],[Ad_Spend]]</f>
        <v>0.23354493818910793</v>
      </c>
      <c r="H96">
        <v>7.79</v>
      </c>
      <c r="I96">
        <v>11972</v>
      </c>
    </row>
    <row r="97" spans="1:9" hidden="1">
      <c r="A97" s="7">
        <v>45663</v>
      </c>
      <c r="B97" t="s">
        <v>31</v>
      </c>
      <c r="C97">
        <v>953</v>
      </c>
      <c r="D97">
        <v>228</v>
      </c>
      <c r="E97">
        <v>258398</v>
      </c>
      <c r="F97">
        <f>Engagement_Summary15[[#This Row],[New_Followers]]-Engagement_Summary15[[#This Row],[Unfollows]]</f>
        <v>725</v>
      </c>
      <c r="G97" s="36">
        <f>(task_2_unsplit_dataset[[#This Row],[Likes]]+task_2_unsplit_dataset[[#This Row],[Shares]]+task_2_unsplit_dataset[[#This Row],[Comments]])/Engagement_Summary15[[#This Row],[Ad_Spend]]</f>
        <v>0.27031695959140756</v>
      </c>
      <c r="H97">
        <v>9.0500000000000007</v>
      </c>
      <c r="I97">
        <v>13314</v>
      </c>
    </row>
    <row r="98" spans="1:9" hidden="1">
      <c r="A98" s="7">
        <v>45670</v>
      </c>
      <c r="B98" t="s">
        <v>14</v>
      </c>
      <c r="C98">
        <v>532</v>
      </c>
      <c r="D98">
        <v>65</v>
      </c>
      <c r="E98">
        <v>338561</v>
      </c>
      <c r="F98">
        <f>Engagement_Summary15[[#This Row],[New_Followers]]-Engagement_Summary15[[#This Row],[Unfollows]]</f>
        <v>467</v>
      </c>
      <c r="G98" s="36">
        <f>(task_2_unsplit_dataset[[#This Row],[Likes]]+task_2_unsplit_dataset[[#This Row],[Shares]]+task_2_unsplit_dataset[[#This Row],[Comments]])/Engagement_Summary15[[#This Row],[Ad_Spend]]</f>
        <v>0.33588717879178248</v>
      </c>
      <c r="H98">
        <v>3.5</v>
      </c>
      <c r="I98">
        <v>14749</v>
      </c>
    </row>
    <row r="99" spans="1:9" hidden="1">
      <c r="A99" s="7">
        <v>45747</v>
      </c>
      <c r="B99" t="s">
        <v>31</v>
      </c>
      <c r="C99">
        <v>1425</v>
      </c>
      <c r="D99">
        <v>58</v>
      </c>
      <c r="E99">
        <v>202234</v>
      </c>
      <c r="F99">
        <f>Engagement_Summary15[[#This Row],[New_Followers]]-Engagement_Summary15[[#This Row],[Unfollows]]</f>
        <v>1367</v>
      </c>
      <c r="G99" s="36">
        <f>(task_2_unsplit_dataset[[#This Row],[Likes]]+task_2_unsplit_dataset[[#This Row],[Shares]]+task_2_unsplit_dataset[[#This Row],[Comments]])/Engagement_Summary15[[#This Row],[Ad_Spend]]</f>
        <v>0.15199002277410259</v>
      </c>
      <c r="H99">
        <v>6.67</v>
      </c>
      <c r="I99">
        <v>18442</v>
      </c>
    </row>
    <row r="100" spans="1:9" hidden="1">
      <c r="A100" s="7">
        <v>45670</v>
      </c>
      <c r="B100" t="s">
        <v>31</v>
      </c>
      <c r="C100">
        <v>685</v>
      </c>
      <c r="D100">
        <v>165</v>
      </c>
      <c r="E100">
        <v>175860</v>
      </c>
      <c r="F100">
        <f>Engagement_Summary15[[#This Row],[New_Followers]]-Engagement_Summary15[[#This Row],[Unfollows]]</f>
        <v>520</v>
      </c>
      <c r="G100" s="36">
        <f>(task_2_unsplit_dataset[[#This Row],[Likes]]+task_2_unsplit_dataset[[#This Row],[Shares]]+task_2_unsplit_dataset[[#This Row],[Comments]])/Engagement_Summary15[[#This Row],[Ad_Spend]]</f>
        <v>0.34544549527127927</v>
      </c>
      <c r="H100">
        <v>6.26</v>
      </c>
      <c r="I100">
        <v>6027</v>
      </c>
    </row>
    <row r="101" spans="1:9" hidden="1">
      <c r="A101" s="7">
        <v>45677</v>
      </c>
      <c r="B101" t="s">
        <v>14</v>
      </c>
      <c r="C101">
        <v>601</v>
      </c>
      <c r="D101">
        <v>159</v>
      </c>
      <c r="E101">
        <v>327722</v>
      </c>
      <c r="F101">
        <f>Engagement_Summary15[[#This Row],[New_Followers]]-Engagement_Summary15[[#This Row],[Unfollows]]</f>
        <v>442</v>
      </c>
      <c r="G101" s="36">
        <f>(task_2_unsplit_dataset[[#This Row],[Likes]]+task_2_unsplit_dataset[[#This Row],[Shares]]+task_2_unsplit_dataset[[#This Row],[Comments]])/Engagement_Summary15[[#This Row],[Ad_Spend]]</f>
        <v>0.1235603751929394</v>
      </c>
      <c r="H101">
        <v>3.33</v>
      </c>
      <c r="I101">
        <v>25267</v>
      </c>
    </row>
    <row r="102" spans="1:9">
      <c r="A102" s="7">
        <v>45628</v>
      </c>
      <c r="B102" t="s">
        <v>24</v>
      </c>
      <c r="C102">
        <v>1027</v>
      </c>
      <c r="D102">
        <v>156</v>
      </c>
      <c r="E102">
        <v>111293</v>
      </c>
      <c r="F102">
        <f>Engagement_Summary15[[#This Row],[New_Followers]]-Engagement_Summary15[[#This Row],[Unfollows]]</f>
        <v>871</v>
      </c>
      <c r="G102" s="36">
        <f>(task_2_unsplit_dataset[[#This Row],[Likes]]+task_2_unsplit_dataset[[#This Row],[Shares]]+task_2_unsplit_dataset[[#This Row],[Comments]])/Engagement_Summary15[[#This Row],[Ad_Spend]]</f>
        <v>0.57912042745581582</v>
      </c>
      <c r="H102">
        <v>5.51</v>
      </c>
      <c r="I102">
        <v>7299</v>
      </c>
    </row>
    <row r="103" spans="1:9" hidden="1">
      <c r="A103" s="7">
        <v>45677</v>
      </c>
      <c r="B103" t="s">
        <v>31</v>
      </c>
      <c r="C103">
        <v>1105</v>
      </c>
      <c r="D103">
        <v>261</v>
      </c>
      <c r="E103">
        <v>333851</v>
      </c>
      <c r="F103">
        <f>Engagement_Summary15[[#This Row],[New_Followers]]-Engagement_Summary15[[#This Row],[Unfollows]]</f>
        <v>844</v>
      </c>
      <c r="G103" s="36">
        <f>(task_2_unsplit_dataset[[#This Row],[Likes]]+task_2_unsplit_dataset[[#This Row],[Shares]]+task_2_unsplit_dataset[[#This Row],[Comments]])/Engagement_Summary15[[#This Row],[Ad_Spend]]</f>
        <v>0.17467131741346928</v>
      </c>
      <c r="H103">
        <v>6.03</v>
      </c>
      <c r="I103">
        <v>11181</v>
      </c>
    </row>
    <row r="104" spans="1:9">
      <c r="A104" s="7">
        <v>45796</v>
      </c>
      <c r="B104" t="s">
        <v>31</v>
      </c>
      <c r="C104">
        <v>1358</v>
      </c>
      <c r="D104">
        <v>77</v>
      </c>
      <c r="E104">
        <v>169688</v>
      </c>
      <c r="F104">
        <f>Engagement_Summary15[[#This Row],[New_Followers]]-Engagement_Summary15[[#This Row],[Unfollows]]</f>
        <v>1281</v>
      </c>
      <c r="G104" s="36">
        <f>(task_2_unsplit_dataset[[#This Row],[Likes]]+task_2_unsplit_dataset[[#This Row],[Shares]]+task_2_unsplit_dataset[[#This Row],[Comments]])/Engagement_Summary15[[#This Row],[Ad_Spend]]</f>
        <v>0.71192263646774401</v>
      </c>
      <c r="H104">
        <v>5.25</v>
      </c>
      <c r="I104">
        <v>7859</v>
      </c>
    </row>
    <row r="105" spans="1:9">
      <c r="A105" s="7">
        <v>45684</v>
      </c>
      <c r="B105" t="s">
        <v>24</v>
      </c>
      <c r="C105">
        <v>1149</v>
      </c>
      <c r="D105">
        <v>280</v>
      </c>
      <c r="E105">
        <v>167310</v>
      </c>
      <c r="F105">
        <f>Engagement_Summary15[[#This Row],[New_Followers]]-Engagement_Summary15[[#This Row],[Unfollows]]</f>
        <v>869</v>
      </c>
      <c r="G105" s="36">
        <f>(task_2_unsplit_dataset[[#This Row],[Likes]]+task_2_unsplit_dataset[[#This Row],[Shares]]+task_2_unsplit_dataset[[#This Row],[Comments]])/Engagement_Summary15[[#This Row],[Ad_Spend]]</f>
        <v>0.66584766584766586</v>
      </c>
      <c r="H105">
        <v>3.7</v>
      </c>
      <c r="I105">
        <v>5291</v>
      </c>
    </row>
    <row r="106" spans="1:9" hidden="1">
      <c r="A106" s="7">
        <v>45684</v>
      </c>
      <c r="B106" t="s">
        <v>31</v>
      </c>
      <c r="C106">
        <v>819</v>
      </c>
      <c r="D106">
        <v>101</v>
      </c>
      <c r="E106">
        <v>194811</v>
      </c>
      <c r="F106">
        <f>Engagement_Summary15[[#This Row],[New_Followers]]-Engagement_Summary15[[#This Row],[Unfollows]]</f>
        <v>718</v>
      </c>
      <c r="G106" s="36">
        <f>(task_2_unsplit_dataset[[#This Row],[Likes]]+task_2_unsplit_dataset[[#This Row],[Shares]]+task_2_unsplit_dataset[[#This Row],[Comments]])/Engagement_Summary15[[#This Row],[Ad_Spend]]</f>
        <v>0.12466283042618234</v>
      </c>
      <c r="H106">
        <v>3.35</v>
      </c>
      <c r="I106">
        <v>22244</v>
      </c>
    </row>
    <row r="107" spans="1:9">
      <c r="A107" s="7">
        <v>45691</v>
      </c>
      <c r="B107" t="s">
        <v>14</v>
      </c>
      <c r="C107">
        <v>795</v>
      </c>
      <c r="D107">
        <v>60</v>
      </c>
      <c r="E107">
        <v>314982</v>
      </c>
      <c r="F107">
        <f>Engagement_Summary15[[#This Row],[New_Followers]]-Engagement_Summary15[[#This Row],[Unfollows]]</f>
        <v>735</v>
      </c>
      <c r="G107" s="36">
        <f>(task_2_unsplit_dataset[[#This Row],[Likes]]+task_2_unsplit_dataset[[#This Row],[Shares]]+task_2_unsplit_dataset[[#This Row],[Comments]])/Engagement_Summary15[[#This Row],[Ad_Spend]]</f>
        <v>0.66383352872215706</v>
      </c>
      <c r="H107">
        <v>7.31</v>
      </c>
      <c r="I107">
        <v>6824</v>
      </c>
    </row>
    <row r="108" spans="1:9" hidden="1">
      <c r="A108" s="7">
        <v>45691</v>
      </c>
      <c r="B108" t="s">
        <v>24</v>
      </c>
      <c r="C108">
        <v>681</v>
      </c>
      <c r="D108">
        <v>158</v>
      </c>
      <c r="E108">
        <v>75960</v>
      </c>
      <c r="F108">
        <f>Engagement_Summary15[[#This Row],[New_Followers]]-Engagement_Summary15[[#This Row],[Unfollows]]</f>
        <v>523</v>
      </c>
      <c r="G108" s="36">
        <f>(task_2_unsplit_dataset[[#This Row],[Likes]]+task_2_unsplit_dataset[[#This Row],[Shares]]+task_2_unsplit_dataset[[#This Row],[Comments]])/Engagement_Summary15[[#This Row],[Ad_Spend]]</f>
        <v>7.0048108825481084E-2</v>
      </c>
      <c r="H108">
        <v>3.13</v>
      </c>
      <c r="I108">
        <v>24112</v>
      </c>
    </row>
    <row r="109" spans="1:9" hidden="1">
      <c r="A109" s="7">
        <v>45691</v>
      </c>
      <c r="B109" t="s">
        <v>31</v>
      </c>
      <c r="C109">
        <v>534</v>
      </c>
      <c r="D109">
        <v>112</v>
      </c>
      <c r="E109">
        <v>360759</v>
      </c>
      <c r="F109">
        <f>Engagement_Summary15[[#This Row],[New_Followers]]-Engagement_Summary15[[#This Row],[Unfollows]]</f>
        <v>422</v>
      </c>
      <c r="G109" s="36">
        <f>(task_2_unsplit_dataset[[#This Row],[Likes]]+task_2_unsplit_dataset[[#This Row],[Shares]]+task_2_unsplit_dataset[[#This Row],[Comments]])/Engagement_Summary15[[#This Row],[Ad_Spend]]</f>
        <v>0.15578145851322711</v>
      </c>
      <c r="H109">
        <v>4.8899999999999997</v>
      </c>
      <c r="I109">
        <v>25478</v>
      </c>
    </row>
    <row r="110" spans="1:9" hidden="1">
      <c r="A110" s="7">
        <v>45698</v>
      </c>
      <c r="B110" t="s">
        <v>14</v>
      </c>
      <c r="C110">
        <v>1066</v>
      </c>
      <c r="D110">
        <v>151</v>
      </c>
      <c r="E110">
        <v>297090</v>
      </c>
      <c r="F110">
        <f>Engagement_Summary15[[#This Row],[New_Followers]]-Engagement_Summary15[[#This Row],[Unfollows]]</f>
        <v>915</v>
      </c>
      <c r="G110" s="36">
        <f>(task_2_unsplit_dataset[[#This Row],[Likes]]+task_2_unsplit_dataset[[#This Row],[Shares]]+task_2_unsplit_dataset[[#This Row],[Comments]])/Engagement_Summary15[[#This Row],[Ad_Spend]]</f>
        <v>0.39902091677792612</v>
      </c>
      <c r="H110">
        <v>8.6300000000000008</v>
      </c>
      <c r="I110">
        <v>11235</v>
      </c>
    </row>
    <row r="111" spans="1:9">
      <c r="A111" s="7">
        <v>45670</v>
      </c>
      <c r="B111" t="s">
        <v>24</v>
      </c>
      <c r="C111">
        <v>1414</v>
      </c>
      <c r="D111">
        <v>60</v>
      </c>
      <c r="E111">
        <v>341856</v>
      </c>
      <c r="F111">
        <f>Engagement_Summary15[[#This Row],[New_Followers]]-Engagement_Summary15[[#This Row],[Unfollows]]</f>
        <v>1354</v>
      </c>
      <c r="G111" s="36">
        <f>(task_2_unsplit_dataset[[#This Row],[Likes]]+task_2_unsplit_dataset[[#This Row],[Shares]]+task_2_unsplit_dataset[[#This Row],[Comments]])/Engagement_Summary15[[#This Row],[Ad_Spend]]</f>
        <v>0.83401281304601049</v>
      </c>
      <c r="H111">
        <v>8.76</v>
      </c>
      <c r="I111">
        <v>6868</v>
      </c>
    </row>
    <row r="112" spans="1:9" hidden="1">
      <c r="A112" s="7">
        <v>45698</v>
      </c>
      <c r="B112" t="s">
        <v>31</v>
      </c>
      <c r="C112">
        <v>536</v>
      </c>
      <c r="D112">
        <v>198</v>
      </c>
      <c r="E112">
        <v>174610</v>
      </c>
      <c r="F112">
        <f>Engagement_Summary15[[#This Row],[New_Followers]]-Engagement_Summary15[[#This Row],[Unfollows]]</f>
        <v>338</v>
      </c>
      <c r="G112" s="36">
        <f>(task_2_unsplit_dataset[[#This Row],[Likes]]+task_2_unsplit_dataset[[#This Row],[Shares]]+task_2_unsplit_dataset[[#This Row],[Comments]])/Engagement_Summary15[[#This Row],[Ad_Spend]]</f>
        <v>0.24489597511180244</v>
      </c>
      <c r="H112">
        <v>7.85</v>
      </c>
      <c r="I112">
        <v>20572</v>
      </c>
    </row>
    <row r="113" spans="1:9" hidden="1">
      <c r="A113" s="7">
        <v>45705</v>
      </c>
      <c r="B113" t="s">
        <v>14</v>
      </c>
      <c r="C113">
        <v>819</v>
      </c>
      <c r="D113">
        <v>95</v>
      </c>
      <c r="E113">
        <v>177376</v>
      </c>
      <c r="F113">
        <f>Engagement_Summary15[[#This Row],[New_Followers]]-Engagement_Summary15[[#This Row],[Unfollows]]</f>
        <v>724</v>
      </c>
      <c r="G113" s="36">
        <f>(task_2_unsplit_dataset[[#This Row],[Likes]]+task_2_unsplit_dataset[[#This Row],[Shares]]+task_2_unsplit_dataset[[#This Row],[Comments]])/Engagement_Summary15[[#This Row],[Ad_Spend]]</f>
        <v>0.16641068447412355</v>
      </c>
      <c r="H113">
        <v>6.12</v>
      </c>
      <c r="I113">
        <v>14975</v>
      </c>
    </row>
    <row r="114" spans="1:9" hidden="1">
      <c r="A114" s="7">
        <v>45705</v>
      </c>
      <c r="B114" t="s">
        <v>24</v>
      </c>
      <c r="C114">
        <v>681</v>
      </c>
      <c r="D114">
        <v>218</v>
      </c>
      <c r="E114">
        <v>198882</v>
      </c>
      <c r="F114">
        <f>Engagement_Summary15[[#This Row],[New_Followers]]-Engagement_Summary15[[#This Row],[Unfollows]]</f>
        <v>463</v>
      </c>
      <c r="G114" s="36">
        <f>(task_2_unsplit_dataset[[#This Row],[Likes]]+task_2_unsplit_dataset[[#This Row],[Shares]]+task_2_unsplit_dataset[[#This Row],[Comments]])/Engagement_Summary15[[#This Row],[Ad_Spend]]</f>
        <v>0.23868849509759826</v>
      </c>
      <c r="H114">
        <v>7.16</v>
      </c>
      <c r="I114">
        <v>22234</v>
      </c>
    </row>
    <row r="115" spans="1:9">
      <c r="A115" s="7">
        <v>45621</v>
      </c>
      <c r="B115" t="s">
        <v>31</v>
      </c>
      <c r="C115">
        <v>1313</v>
      </c>
      <c r="D115">
        <v>159</v>
      </c>
      <c r="E115">
        <v>197183</v>
      </c>
      <c r="F115">
        <f>Engagement_Summary15[[#This Row],[New_Followers]]-Engagement_Summary15[[#This Row],[Unfollows]]</f>
        <v>1154</v>
      </c>
      <c r="G115" s="36">
        <f>(task_2_unsplit_dataset[[#This Row],[Likes]]+task_2_unsplit_dataset[[#This Row],[Shares]]+task_2_unsplit_dataset[[#This Row],[Comments]])/Engagement_Summary15[[#This Row],[Ad_Spend]]</f>
        <v>0.83592452830188679</v>
      </c>
      <c r="H115">
        <v>9.7100000000000009</v>
      </c>
      <c r="I115">
        <v>6625</v>
      </c>
    </row>
    <row r="116" spans="1:9" hidden="1">
      <c r="A116" s="7">
        <v>45712</v>
      </c>
      <c r="B116" t="s">
        <v>14</v>
      </c>
      <c r="C116">
        <v>645</v>
      </c>
      <c r="D116">
        <v>267</v>
      </c>
      <c r="E116">
        <v>346890</v>
      </c>
      <c r="F116">
        <f>Engagement_Summary15[[#This Row],[New_Followers]]-Engagement_Summary15[[#This Row],[Unfollows]]</f>
        <v>378</v>
      </c>
      <c r="G116" s="36">
        <f>(task_2_unsplit_dataset[[#This Row],[Likes]]+task_2_unsplit_dataset[[#This Row],[Shares]]+task_2_unsplit_dataset[[#This Row],[Comments]])/Engagement_Summary15[[#This Row],[Ad_Spend]]</f>
        <v>0.11823155523372757</v>
      </c>
      <c r="H116">
        <v>3.71</v>
      </c>
      <c r="I116">
        <v>24858</v>
      </c>
    </row>
    <row r="117" spans="1:9" hidden="1">
      <c r="A117" s="7">
        <v>45712</v>
      </c>
      <c r="B117" t="s">
        <v>24</v>
      </c>
      <c r="C117">
        <v>886</v>
      </c>
      <c r="D117">
        <v>250</v>
      </c>
      <c r="E117">
        <v>168170</v>
      </c>
      <c r="F117">
        <f>Engagement_Summary15[[#This Row],[New_Followers]]-Engagement_Summary15[[#This Row],[Unfollows]]</f>
        <v>636</v>
      </c>
      <c r="G117" s="36">
        <f>(task_2_unsplit_dataset[[#This Row],[Likes]]+task_2_unsplit_dataset[[#This Row],[Shares]]+task_2_unsplit_dataset[[#This Row],[Comments]])/Engagement_Summary15[[#This Row],[Ad_Spend]]</f>
        <v>0.19671540733270906</v>
      </c>
      <c r="H117">
        <v>4.12</v>
      </c>
      <c r="I117">
        <v>13883</v>
      </c>
    </row>
    <row r="118" spans="1:9" hidden="1">
      <c r="A118" s="7">
        <v>45712</v>
      </c>
      <c r="B118" t="s">
        <v>31</v>
      </c>
      <c r="C118">
        <v>978</v>
      </c>
      <c r="D118">
        <v>279</v>
      </c>
      <c r="E118">
        <v>368872</v>
      </c>
      <c r="F118">
        <f>Engagement_Summary15[[#This Row],[New_Followers]]-Engagement_Summary15[[#This Row],[Unfollows]]</f>
        <v>699</v>
      </c>
      <c r="G118" s="36">
        <f>(task_2_unsplit_dataset[[#This Row],[Likes]]+task_2_unsplit_dataset[[#This Row],[Shares]]+task_2_unsplit_dataset[[#This Row],[Comments]])/Engagement_Summary15[[#This Row],[Ad_Spend]]</f>
        <v>0.25999785568778816</v>
      </c>
      <c r="H118">
        <v>6.82</v>
      </c>
      <c r="I118">
        <v>18654</v>
      </c>
    </row>
    <row r="119" spans="1:9" hidden="1">
      <c r="A119" s="7">
        <v>45719</v>
      </c>
      <c r="B119" t="s">
        <v>14</v>
      </c>
      <c r="C119">
        <v>1444</v>
      </c>
      <c r="D119">
        <v>165</v>
      </c>
      <c r="E119">
        <v>116436</v>
      </c>
      <c r="F119">
        <f>Engagement_Summary15[[#This Row],[New_Followers]]-Engagement_Summary15[[#This Row],[Unfollows]]</f>
        <v>1279</v>
      </c>
      <c r="G119" s="36">
        <f>(task_2_unsplit_dataset[[#This Row],[Likes]]+task_2_unsplit_dataset[[#This Row],[Shares]]+task_2_unsplit_dataset[[#This Row],[Comments]])/Engagement_Summary15[[#This Row],[Ad_Spend]]</f>
        <v>0.13727510501704049</v>
      </c>
      <c r="H119">
        <v>8.2200000000000006</v>
      </c>
      <c r="I119">
        <v>25234</v>
      </c>
    </row>
    <row r="120" spans="1:9" hidden="1">
      <c r="A120" s="7">
        <v>45719</v>
      </c>
      <c r="B120" t="s">
        <v>24</v>
      </c>
      <c r="C120">
        <v>1234</v>
      </c>
      <c r="D120">
        <v>228</v>
      </c>
      <c r="E120">
        <v>127502</v>
      </c>
      <c r="F120">
        <f>Engagement_Summary15[[#This Row],[New_Followers]]-Engagement_Summary15[[#This Row],[Unfollows]]</f>
        <v>1006</v>
      </c>
      <c r="G120" s="36">
        <f>(task_2_unsplit_dataset[[#This Row],[Likes]]+task_2_unsplit_dataset[[#This Row],[Shares]]+task_2_unsplit_dataset[[#This Row],[Comments]])/Engagement_Summary15[[#This Row],[Ad_Spend]]</f>
        <v>0.47209096278795037</v>
      </c>
      <c r="H120">
        <v>7.71</v>
      </c>
      <c r="I120">
        <v>6772</v>
      </c>
    </row>
    <row r="121" spans="1:9" hidden="1">
      <c r="A121" s="7">
        <v>45719</v>
      </c>
      <c r="B121" t="s">
        <v>31</v>
      </c>
      <c r="C121">
        <v>665</v>
      </c>
      <c r="D121">
        <v>187</v>
      </c>
      <c r="E121">
        <v>274567</v>
      </c>
      <c r="F121">
        <f>Engagement_Summary15[[#This Row],[New_Followers]]-Engagement_Summary15[[#This Row],[Unfollows]]</f>
        <v>478</v>
      </c>
      <c r="G121" s="36">
        <f>(task_2_unsplit_dataset[[#This Row],[Likes]]+task_2_unsplit_dataset[[#This Row],[Shares]]+task_2_unsplit_dataset[[#This Row],[Comments]])/Engagement_Summary15[[#This Row],[Ad_Spend]]</f>
        <v>0.12578027465667915</v>
      </c>
      <c r="H121">
        <v>7.39</v>
      </c>
      <c r="I121">
        <v>22428</v>
      </c>
    </row>
    <row r="122" spans="1:9" hidden="1">
      <c r="A122" s="7">
        <v>45726</v>
      </c>
      <c r="B122" t="s">
        <v>14</v>
      </c>
      <c r="C122">
        <v>631</v>
      </c>
      <c r="D122">
        <v>86</v>
      </c>
      <c r="E122">
        <v>295090</v>
      </c>
      <c r="F122">
        <f>Engagement_Summary15[[#This Row],[New_Followers]]-Engagement_Summary15[[#This Row],[Unfollows]]</f>
        <v>545</v>
      </c>
      <c r="G122" s="36">
        <f>(task_2_unsplit_dataset[[#This Row],[Likes]]+task_2_unsplit_dataset[[#This Row],[Shares]]+task_2_unsplit_dataset[[#This Row],[Comments]])/Engagement_Summary15[[#This Row],[Ad_Spend]]</f>
        <v>0.31315590630509615</v>
      </c>
      <c r="H122">
        <v>7.89</v>
      </c>
      <c r="I122">
        <v>11911</v>
      </c>
    </row>
    <row r="123" spans="1:9" hidden="1">
      <c r="A123" s="7">
        <v>45726</v>
      </c>
      <c r="B123" t="s">
        <v>24</v>
      </c>
      <c r="C123">
        <v>1159</v>
      </c>
      <c r="D123">
        <v>154</v>
      </c>
      <c r="E123">
        <v>194994</v>
      </c>
      <c r="F123">
        <f>Engagement_Summary15[[#This Row],[New_Followers]]-Engagement_Summary15[[#This Row],[Unfollows]]</f>
        <v>1005</v>
      </c>
      <c r="G123" s="36">
        <f>(task_2_unsplit_dataset[[#This Row],[Likes]]+task_2_unsplit_dataset[[#This Row],[Shares]]+task_2_unsplit_dataset[[#This Row],[Comments]])/Engagement_Summary15[[#This Row],[Ad_Spend]]</f>
        <v>0.15726027397260273</v>
      </c>
      <c r="H123">
        <v>6.39</v>
      </c>
      <c r="I123">
        <v>21900</v>
      </c>
    </row>
    <row r="124" spans="1:9" hidden="1">
      <c r="A124" s="7">
        <v>45726</v>
      </c>
      <c r="B124" t="s">
        <v>31</v>
      </c>
      <c r="C124">
        <v>950</v>
      </c>
      <c r="D124">
        <v>185</v>
      </c>
      <c r="E124">
        <v>340750</v>
      </c>
      <c r="F124">
        <f>Engagement_Summary15[[#This Row],[New_Followers]]-Engagement_Summary15[[#This Row],[Unfollows]]</f>
        <v>765</v>
      </c>
      <c r="G124" s="36">
        <f>(task_2_unsplit_dataset[[#This Row],[Likes]]+task_2_unsplit_dataset[[#This Row],[Shares]]+task_2_unsplit_dataset[[#This Row],[Comments]])/Engagement_Summary15[[#This Row],[Ad_Spend]]</f>
        <v>8.3118001722652879E-2</v>
      </c>
      <c r="H124">
        <v>6.77</v>
      </c>
      <c r="I124">
        <v>25542</v>
      </c>
    </row>
    <row r="125" spans="1:9" hidden="1">
      <c r="A125" s="7">
        <v>45733</v>
      </c>
      <c r="B125" t="s">
        <v>14</v>
      </c>
      <c r="C125">
        <v>693</v>
      </c>
      <c r="D125">
        <v>129</v>
      </c>
      <c r="E125">
        <v>296031</v>
      </c>
      <c r="F125">
        <f>Engagement_Summary15[[#This Row],[New_Followers]]-Engagement_Summary15[[#This Row],[Unfollows]]</f>
        <v>564</v>
      </c>
      <c r="G125" s="36">
        <f>(task_2_unsplit_dataset[[#This Row],[Likes]]+task_2_unsplit_dataset[[#This Row],[Shares]]+task_2_unsplit_dataset[[#This Row],[Comments]])/Engagement_Summary15[[#This Row],[Ad_Spend]]</f>
        <v>0.45294117647058824</v>
      </c>
      <c r="H125">
        <v>3.41</v>
      </c>
      <c r="I125">
        <v>7140</v>
      </c>
    </row>
    <row r="126" spans="1:9" hidden="1">
      <c r="A126" s="7">
        <v>45733</v>
      </c>
      <c r="B126" t="s">
        <v>24</v>
      </c>
      <c r="C126">
        <v>576</v>
      </c>
      <c r="D126">
        <v>80</v>
      </c>
      <c r="E126">
        <v>345688</v>
      </c>
      <c r="F126">
        <f>Engagement_Summary15[[#This Row],[New_Followers]]-Engagement_Summary15[[#This Row],[Unfollows]]</f>
        <v>496</v>
      </c>
      <c r="G126" s="36">
        <f>(task_2_unsplit_dataset[[#This Row],[Likes]]+task_2_unsplit_dataset[[#This Row],[Shares]]+task_2_unsplit_dataset[[#This Row],[Comments]])/Engagement_Summary15[[#This Row],[Ad_Spend]]</f>
        <v>0.23805802481195662</v>
      </c>
      <c r="H126">
        <v>4.1100000000000003</v>
      </c>
      <c r="I126">
        <v>20474</v>
      </c>
    </row>
    <row r="127" spans="1:9" hidden="1">
      <c r="A127" s="7">
        <v>45733</v>
      </c>
      <c r="B127" t="s">
        <v>31</v>
      </c>
      <c r="C127">
        <v>1274</v>
      </c>
      <c r="D127">
        <v>146</v>
      </c>
      <c r="E127">
        <v>263488</v>
      </c>
      <c r="F127">
        <f>Engagement_Summary15[[#This Row],[New_Followers]]-Engagement_Summary15[[#This Row],[Unfollows]]</f>
        <v>1128</v>
      </c>
      <c r="G127" s="36">
        <f>(task_2_unsplit_dataset[[#This Row],[Likes]]+task_2_unsplit_dataset[[#This Row],[Shares]]+task_2_unsplit_dataset[[#This Row],[Comments]])/Engagement_Summary15[[#This Row],[Ad_Spend]]</f>
        <v>0.22039549321683147</v>
      </c>
      <c r="H127">
        <v>9.58</v>
      </c>
      <c r="I127">
        <v>8698</v>
      </c>
    </row>
    <row r="128" spans="1:9" hidden="1">
      <c r="A128" s="7">
        <v>45740</v>
      </c>
      <c r="B128" t="s">
        <v>14</v>
      </c>
      <c r="C128">
        <v>818</v>
      </c>
      <c r="D128">
        <v>253</v>
      </c>
      <c r="E128">
        <v>184911</v>
      </c>
      <c r="F128">
        <f>Engagement_Summary15[[#This Row],[New_Followers]]-Engagement_Summary15[[#This Row],[Unfollows]]</f>
        <v>565</v>
      </c>
      <c r="G128" s="36">
        <f>(task_2_unsplit_dataset[[#This Row],[Likes]]+task_2_unsplit_dataset[[#This Row],[Shares]]+task_2_unsplit_dataset[[#This Row],[Comments]])/Engagement_Summary15[[#This Row],[Ad_Spend]]</f>
        <v>0.2072678331090175</v>
      </c>
      <c r="H128">
        <v>3.39</v>
      </c>
      <c r="I128">
        <v>10402</v>
      </c>
    </row>
    <row r="129" spans="1:9" hidden="1">
      <c r="A129" s="7">
        <v>45740</v>
      </c>
      <c r="B129" t="s">
        <v>24</v>
      </c>
      <c r="C129">
        <v>975</v>
      </c>
      <c r="D129">
        <v>162</v>
      </c>
      <c r="E129">
        <v>124497</v>
      </c>
      <c r="F129">
        <f>Engagement_Summary15[[#This Row],[New_Followers]]-Engagement_Summary15[[#This Row],[Unfollows]]</f>
        <v>813</v>
      </c>
      <c r="G129" s="36">
        <f>(task_2_unsplit_dataset[[#This Row],[Likes]]+task_2_unsplit_dataset[[#This Row],[Shares]]+task_2_unsplit_dataset[[#This Row],[Comments]])/Engagement_Summary15[[#This Row],[Ad_Spend]]</f>
        <v>8.8774513487113987E-2</v>
      </c>
      <c r="H129">
        <v>9.58</v>
      </c>
      <c r="I129">
        <v>26618</v>
      </c>
    </row>
    <row r="130" spans="1:9" hidden="1">
      <c r="A130" s="7">
        <v>45740</v>
      </c>
      <c r="B130" t="s">
        <v>31</v>
      </c>
      <c r="C130">
        <v>1398</v>
      </c>
      <c r="D130">
        <v>97</v>
      </c>
      <c r="E130">
        <v>397607</v>
      </c>
      <c r="F130">
        <f>Engagement_Summary15[[#This Row],[New_Followers]]-Engagement_Summary15[[#This Row],[Unfollows]]</f>
        <v>1301</v>
      </c>
      <c r="G130" s="36">
        <f>(task_2_unsplit_dataset[[#This Row],[Likes]]+task_2_unsplit_dataset[[#This Row],[Shares]]+task_2_unsplit_dataset[[#This Row],[Comments]])/Engagement_Summary15[[#This Row],[Ad_Spend]]</f>
        <v>0.46169278996865204</v>
      </c>
      <c r="H130">
        <v>5.09</v>
      </c>
      <c r="I130">
        <v>7975</v>
      </c>
    </row>
    <row r="131" spans="1:9" hidden="1">
      <c r="A131" s="7">
        <v>45747</v>
      </c>
      <c r="B131" t="s">
        <v>14</v>
      </c>
      <c r="C131">
        <v>591</v>
      </c>
      <c r="D131">
        <v>155</v>
      </c>
      <c r="E131">
        <v>138521</v>
      </c>
      <c r="F131">
        <f>Engagement_Summary15[[#This Row],[New_Followers]]-Engagement_Summary15[[#This Row],[Unfollows]]</f>
        <v>436</v>
      </c>
      <c r="G131" s="36">
        <f>(task_2_unsplit_dataset[[#This Row],[Likes]]+task_2_unsplit_dataset[[#This Row],[Shares]]+task_2_unsplit_dataset[[#This Row],[Comments]])/Engagement_Summary15[[#This Row],[Ad_Spend]]</f>
        <v>0.13514222735383646</v>
      </c>
      <c r="H131">
        <v>7.85</v>
      </c>
      <c r="I131">
        <v>19054</v>
      </c>
    </row>
    <row r="132" spans="1:9" hidden="1">
      <c r="A132" s="7">
        <v>45747</v>
      </c>
      <c r="B132" t="s">
        <v>24</v>
      </c>
      <c r="C132">
        <v>1232</v>
      </c>
      <c r="D132">
        <v>254</v>
      </c>
      <c r="E132">
        <v>107718</v>
      </c>
      <c r="F132">
        <f>Engagement_Summary15[[#This Row],[New_Followers]]-Engagement_Summary15[[#This Row],[Unfollows]]</f>
        <v>978</v>
      </c>
      <c r="G132" s="36">
        <f>(task_2_unsplit_dataset[[#This Row],[Likes]]+task_2_unsplit_dataset[[#This Row],[Shares]]+task_2_unsplit_dataset[[#This Row],[Comments]])/Engagement_Summary15[[#This Row],[Ad_Spend]]</f>
        <v>0.33624454148471616</v>
      </c>
      <c r="H132">
        <v>9.7100000000000009</v>
      </c>
      <c r="I132">
        <v>13740</v>
      </c>
    </row>
    <row r="133" spans="1:9" hidden="1">
      <c r="A133" s="7">
        <v>45796</v>
      </c>
      <c r="B133" t="s">
        <v>24</v>
      </c>
      <c r="C133">
        <v>1430</v>
      </c>
      <c r="D133">
        <v>74</v>
      </c>
      <c r="E133">
        <v>327012</v>
      </c>
      <c r="F133">
        <f>Engagement_Summary15[[#This Row],[New_Followers]]-Engagement_Summary15[[#This Row],[Unfollows]]</f>
        <v>1356</v>
      </c>
      <c r="G133" s="36">
        <f>(task_2_unsplit_dataset[[#This Row],[Likes]]+task_2_unsplit_dataset[[#This Row],[Shares]]+task_2_unsplit_dataset[[#This Row],[Comments]])/Engagement_Summary15[[#This Row],[Ad_Spend]]</f>
        <v>8.1527607803613844E-2</v>
      </c>
      <c r="H133">
        <v>6.66</v>
      </c>
      <c r="I133">
        <v>27782</v>
      </c>
    </row>
    <row r="134" spans="1:9">
      <c r="A134" s="7">
        <v>45684</v>
      </c>
      <c r="B134" t="s">
        <v>14</v>
      </c>
      <c r="C134">
        <v>566</v>
      </c>
      <c r="D134">
        <v>225</v>
      </c>
      <c r="E134">
        <v>368984</v>
      </c>
      <c r="F134">
        <f>Engagement_Summary15[[#This Row],[New_Followers]]-Engagement_Summary15[[#This Row],[Unfollows]]</f>
        <v>341</v>
      </c>
      <c r="G134" s="36">
        <f>(task_2_unsplit_dataset[[#This Row],[Likes]]+task_2_unsplit_dataset[[#This Row],[Shares]]+task_2_unsplit_dataset[[#This Row],[Comments]])/Engagement_Summary15[[#This Row],[Ad_Spend]]</f>
        <v>0.44557964970809005</v>
      </c>
      <c r="H134">
        <v>9.82</v>
      </c>
      <c r="I134">
        <v>9592</v>
      </c>
    </row>
    <row r="135" spans="1:9" hidden="1">
      <c r="A135" s="7">
        <v>45754</v>
      </c>
      <c r="B135" t="s">
        <v>24</v>
      </c>
      <c r="C135">
        <v>1222</v>
      </c>
      <c r="D135">
        <v>208</v>
      </c>
      <c r="E135">
        <v>340098</v>
      </c>
      <c r="F135">
        <f>Engagement_Summary15[[#This Row],[New_Followers]]-Engagement_Summary15[[#This Row],[Unfollows]]</f>
        <v>1014</v>
      </c>
      <c r="G135" s="36">
        <f>(task_2_unsplit_dataset[[#This Row],[Likes]]+task_2_unsplit_dataset[[#This Row],[Shares]]+task_2_unsplit_dataset[[#This Row],[Comments]])/Engagement_Summary15[[#This Row],[Ad_Spend]]</f>
        <v>0.14850029856230765</v>
      </c>
      <c r="H135">
        <v>7.34</v>
      </c>
      <c r="I135">
        <v>21771</v>
      </c>
    </row>
    <row r="136" spans="1:9" hidden="1">
      <c r="A136" s="7">
        <v>45754</v>
      </c>
      <c r="B136" t="s">
        <v>31</v>
      </c>
      <c r="C136">
        <v>1071</v>
      </c>
      <c r="D136">
        <v>131</v>
      </c>
      <c r="E136">
        <v>254727</v>
      </c>
      <c r="F136">
        <f>Engagement_Summary15[[#This Row],[New_Followers]]-Engagement_Summary15[[#This Row],[Unfollows]]</f>
        <v>940</v>
      </c>
      <c r="G136" s="36">
        <f>(task_2_unsplit_dataset[[#This Row],[Likes]]+task_2_unsplit_dataset[[#This Row],[Shares]]+task_2_unsplit_dataset[[#This Row],[Comments]])/Engagement_Summary15[[#This Row],[Ad_Spend]]</f>
        <v>0.13487449867063223</v>
      </c>
      <c r="H136">
        <v>6.87</v>
      </c>
      <c r="I136">
        <v>22191</v>
      </c>
    </row>
    <row r="137" spans="1:9" hidden="1">
      <c r="A137" s="7">
        <v>45761</v>
      </c>
      <c r="B137" t="s">
        <v>14</v>
      </c>
      <c r="C137">
        <v>772</v>
      </c>
      <c r="D137">
        <v>82</v>
      </c>
      <c r="E137">
        <v>345659</v>
      </c>
      <c r="F137">
        <f>Engagement_Summary15[[#This Row],[New_Followers]]-Engagement_Summary15[[#This Row],[Unfollows]]</f>
        <v>690</v>
      </c>
      <c r="G137" s="36">
        <f>(task_2_unsplit_dataset[[#This Row],[Likes]]+task_2_unsplit_dataset[[#This Row],[Shares]]+task_2_unsplit_dataset[[#This Row],[Comments]])/Engagement_Summary15[[#This Row],[Ad_Spend]]</f>
        <v>0.15396533708067597</v>
      </c>
      <c r="H137">
        <v>3.52</v>
      </c>
      <c r="I137">
        <v>27753</v>
      </c>
    </row>
    <row r="138" spans="1:9" hidden="1">
      <c r="A138" s="7">
        <v>45761</v>
      </c>
      <c r="B138" t="s">
        <v>24</v>
      </c>
      <c r="C138">
        <v>1472</v>
      </c>
      <c r="D138">
        <v>137</v>
      </c>
      <c r="E138">
        <v>213950</v>
      </c>
      <c r="F138">
        <f>Engagement_Summary15[[#This Row],[New_Followers]]-Engagement_Summary15[[#This Row],[Unfollows]]</f>
        <v>1335</v>
      </c>
      <c r="G138" s="36">
        <f>(task_2_unsplit_dataset[[#This Row],[Likes]]+task_2_unsplit_dataset[[#This Row],[Shares]]+task_2_unsplit_dataset[[#This Row],[Comments]])/Engagement_Summary15[[#This Row],[Ad_Spend]]</f>
        <v>0.12040781934614088</v>
      </c>
      <c r="H138">
        <v>6.96</v>
      </c>
      <c r="I138">
        <v>23736</v>
      </c>
    </row>
    <row r="139" spans="1:9" hidden="1">
      <c r="A139" s="7">
        <v>45761</v>
      </c>
      <c r="B139" t="s">
        <v>31</v>
      </c>
      <c r="C139">
        <v>1472</v>
      </c>
      <c r="D139">
        <v>281</v>
      </c>
      <c r="E139">
        <v>258115</v>
      </c>
      <c r="F139">
        <f>Engagement_Summary15[[#This Row],[New_Followers]]-Engagement_Summary15[[#This Row],[Unfollows]]</f>
        <v>1191</v>
      </c>
      <c r="G139" s="36">
        <f>(task_2_unsplit_dataset[[#This Row],[Likes]]+task_2_unsplit_dataset[[#This Row],[Shares]]+task_2_unsplit_dataset[[#This Row],[Comments]])/Engagement_Summary15[[#This Row],[Ad_Spend]]</f>
        <v>0.12499543679042091</v>
      </c>
      <c r="H139">
        <v>7.23</v>
      </c>
      <c r="I139">
        <v>27393</v>
      </c>
    </row>
    <row r="140" spans="1:9" hidden="1">
      <c r="A140" s="7">
        <v>45768</v>
      </c>
      <c r="B140" t="s">
        <v>14</v>
      </c>
      <c r="C140">
        <v>585</v>
      </c>
      <c r="D140">
        <v>232</v>
      </c>
      <c r="E140">
        <v>321258</v>
      </c>
      <c r="F140">
        <f>Engagement_Summary15[[#This Row],[New_Followers]]-Engagement_Summary15[[#This Row],[Unfollows]]</f>
        <v>353</v>
      </c>
      <c r="G140" s="36">
        <f>(task_2_unsplit_dataset[[#This Row],[Likes]]+task_2_unsplit_dataset[[#This Row],[Shares]]+task_2_unsplit_dataset[[#This Row],[Comments]])/Engagement_Summary15[[#This Row],[Ad_Spend]]</f>
        <v>0.37861355506139416</v>
      </c>
      <c r="H140">
        <v>7.42</v>
      </c>
      <c r="I140">
        <v>10343</v>
      </c>
    </row>
    <row r="141" spans="1:9" hidden="1">
      <c r="A141" s="7">
        <v>45768</v>
      </c>
      <c r="B141" t="s">
        <v>24</v>
      </c>
      <c r="C141">
        <v>747</v>
      </c>
      <c r="D141">
        <v>261</v>
      </c>
      <c r="E141">
        <v>338650</v>
      </c>
      <c r="F141">
        <f>Engagement_Summary15[[#This Row],[New_Followers]]-Engagement_Summary15[[#This Row],[Unfollows]]</f>
        <v>486</v>
      </c>
      <c r="G141" s="36">
        <f>(task_2_unsplit_dataset[[#This Row],[Likes]]+task_2_unsplit_dataset[[#This Row],[Shares]]+task_2_unsplit_dataset[[#This Row],[Comments]])/Engagement_Summary15[[#This Row],[Ad_Spend]]</f>
        <v>0.13504097549388336</v>
      </c>
      <c r="H141">
        <v>7.73</v>
      </c>
      <c r="I141">
        <v>25259</v>
      </c>
    </row>
    <row r="142" spans="1:9" hidden="1">
      <c r="A142" s="7">
        <v>45768</v>
      </c>
      <c r="B142" t="s">
        <v>31</v>
      </c>
      <c r="C142">
        <v>1113</v>
      </c>
      <c r="D142">
        <v>224</v>
      </c>
      <c r="E142">
        <v>272989</v>
      </c>
      <c r="F142">
        <f>Engagement_Summary15[[#This Row],[New_Followers]]-Engagement_Summary15[[#This Row],[Unfollows]]</f>
        <v>889</v>
      </c>
      <c r="G142" s="36">
        <f>(task_2_unsplit_dataset[[#This Row],[Likes]]+task_2_unsplit_dataset[[#This Row],[Shares]]+task_2_unsplit_dataset[[#This Row],[Comments]])/Engagement_Summary15[[#This Row],[Ad_Spend]]</f>
        <v>0.12224594191807306</v>
      </c>
      <c r="H142">
        <v>5.13</v>
      </c>
      <c r="I142">
        <v>24827</v>
      </c>
    </row>
    <row r="143" spans="1:9" hidden="1">
      <c r="A143" s="7">
        <v>45775</v>
      </c>
      <c r="B143" t="s">
        <v>14</v>
      </c>
      <c r="C143">
        <v>1100</v>
      </c>
      <c r="D143">
        <v>117</v>
      </c>
      <c r="E143">
        <v>260204</v>
      </c>
      <c r="F143">
        <f>Engagement_Summary15[[#This Row],[New_Followers]]-Engagement_Summary15[[#This Row],[Unfollows]]</f>
        <v>983</v>
      </c>
      <c r="G143" s="36">
        <f>(task_2_unsplit_dataset[[#This Row],[Likes]]+task_2_unsplit_dataset[[#This Row],[Shares]]+task_2_unsplit_dataset[[#This Row],[Comments]])/Engagement_Summary15[[#This Row],[Ad_Spend]]</f>
        <v>0.21246221027880416</v>
      </c>
      <c r="H143">
        <v>4.4000000000000004</v>
      </c>
      <c r="I143">
        <v>11908</v>
      </c>
    </row>
    <row r="144" spans="1:9" hidden="1">
      <c r="A144" s="7">
        <v>45775</v>
      </c>
      <c r="B144" t="s">
        <v>24</v>
      </c>
      <c r="C144">
        <v>751</v>
      </c>
      <c r="D144">
        <v>170</v>
      </c>
      <c r="E144">
        <v>283278</v>
      </c>
      <c r="F144">
        <f>Engagement_Summary15[[#This Row],[New_Followers]]-Engagement_Summary15[[#This Row],[Unfollows]]</f>
        <v>581</v>
      </c>
      <c r="G144" s="36">
        <f>(task_2_unsplit_dataset[[#This Row],[Likes]]+task_2_unsplit_dataset[[#This Row],[Shares]]+task_2_unsplit_dataset[[#This Row],[Comments]])/Engagement_Summary15[[#This Row],[Ad_Spend]]</f>
        <v>0.23144025442980462</v>
      </c>
      <c r="H144">
        <v>3.49</v>
      </c>
      <c r="I144">
        <v>11005</v>
      </c>
    </row>
    <row r="145" spans="1:9" hidden="1">
      <c r="A145" s="7">
        <v>45775</v>
      </c>
      <c r="B145" t="s">
        <v>31</v>
      </c>
      <c r="C145">
        <v>864</v>
      </c>
      <c r="D145">
        <v>50</v>
      </c>
      <c r="E145">
        <v>277445</v>
      </c>
      <c r="F145">
        <f>Engagement_Summary15[[#This Row],[New_Followers]]-Engagement_Summary15[[#This Row],[Unfollows]]</f>
        <v>814</v>
      </c>
      <c r="G145" s="36">
        <f>(task_2_unsplit_dataset[[#This Row],[Likes]]+task_2_unsplit_dataset[[#This Row],[Shares]]+task_2_unsplit_dataset[[#This Row],[Comments]])/Engagement_Summary15[[#This Row],[Ad_Spend]]</f>
        <v>0.17571108495044241</v>
      </c>
      <c r="H145">
        <v>3.57</v>
      </c>
      <c r="I145">
        <v>26333</v>
      </c>
    </row>
    <row r="146" spans="1:9" hidden="1">
      <c r="A146" s="7">
        <v>45782</v>
      </c>
      <c r="B146" t="s">
        <v>14</v>
      </c>
      <c r="C146">
        <v>1146</v>
      </c>
      <c r="D146">
        <v>227</v>
      </c>
      <c r="E146">
        <v>353781</v>
      </c>
      <c r="F146">
        <f>Engagement_Summary15[[#This Row],[New_Followers]]-Engagement_Summary15[[#This Row],[Unfollows]]</f>
        <v>919</v>
      </c>
      <c r="G146" s="36">
        <f>(task_2_unsplit_dataset[[#This Row],[Likes]]+task_2_unsplit_dataset[[#This Row],[Shares]]+task_2_unsplit_dataset[[#This Row],[Comments]])/Engagement_Summary15[[#This Row],[Ad_Spend]]</f>
        <v>0.44877161055505005</v>
      </c>
      <c r="H146">
        <v>6.41</v>
      </c>
      <c r="I146">
        <v>5495</v>
      </c>
    </row>
    <row r="147" spans="1:9" hidden="1">
      <c r="A147" s="7">
        <v>45782</v>
      </c>
      <c r="B147" t="s">
        <v>24</v>
      </c>
      <c r="C147">
        <v>883</v>
      </c>
      <c r="D147">
        <v>207</v>
      </c>
      <c r="E147">
        <v>265019</v>
      </c>
      <c r="F147">
        <f>Engagement_Summary15[[#This Row],[New_Followers]]-Engagement_Summary15[[#This Row],[Unfollows]]</f>
        <v>676</v>
      </c>
      <c r="G147" s="36">
        <f>(task_2_unsplit_dataset[[#This Row],[Likes]]+task_2_unsplit_dataset[[#This Row],[Shares]]+task_2_unsplit_dataset[[#This Row],[Comments]])/Engagement_Summary15[[#This Row],[Ad_Spend]]</f>
        <v>0.24765250718620249</v>
      </c>
      <c r="H147">
        <v>6.04</v>
      </c>
      <c r="I147">
        <v>15655</v>
      </c>
    </row>
    <row r="148" spans="1:9" hidden="1">
      <c r="A148" s="7">
        <v>45782</v>
      </c>
      <c r="B148" t="s">
        <v>31</v>
      </c>
      <c r="C148">
        <v>622</v>
      </c>
      <c r="D148">
        <v>163</v>
      </c>
      <c r="E148">
        <v>231925</v>
      </c>
      <c r="F148">
        <f>Engagement_Summary15[[#This Row],[New_Followers]]-Engagement_Summary15[[#This Row],[Unfollows]]</f>
        <v>459</v>
      </c>
      <c r="G148" s="36">
        <f>(task_2_unsplit_dataset[[#This Row],[Likes]]+task_2_unsplit_dataset[[#This Row],[Shares]]+task_2_unsplit_dataset[[#This Row],[Comments]])/Engagement_Summary15[[#This Row],[Ad_Spend]]</f>
        <v>0.3659085955096999</v>
      </c>
      <c r="H148">
        <v>9.18</v>
      </c>
      <c r="I148">
        <v>13763</v>
      </c>
    </row>
    <row r="149" spans="1:9" hidden="1">
      <c r="A149" s="7">
        <v>45789</v>
      </c>
      <c r="B149" t="s">
        <v>14</v>
      </c>
      <c r="C149">
        <v>837</v>
      </c>
      <c r="D149">
        <v>261</v>
      </c>
      <c r="E149">
        <v>366149</v>
      </c>
      <c r="F149">
        <f>Engagement_Summary15[[#This Row],[New_Followers]]-Engagement_Summary15[[#This Row],[Unfollows]]</f>
        <v>576</v>
      </c>
      <c r="G149" s="36">
        <f>(task_2_unsplit_dataset[[#This Row],[Likes]]+task_2_unsplit_dataset[[#This Row],[Shares]]+task_2_unsplit_dataset[[#This Row],[Comments]])/Engagement_Summary15[[#This Row],[Ad_Spend]]</f>
        <v>7.7474782341886247E-2</v>
      </c>
      <c r="H149">
        <v>6.54</v>
      </c>
      <c r="I149">
        <v>26073</v>
      </c>
    </row>
    <row r="150" spans="1:9" hidden="1">
      <c r="A150" s="7">
        <v>45789</v>
      </c>
      <c r="B150" t="s">
        <v>24</v>
      </c>
      <c r="C150">
        <v>544</v>
      </c>
      <c r="D150">
        <v>97</v>
      </c>
      <c r="E150">
        <v>168375</v>
      </c>
      <c r="F150">
        <f>Engagement_Summary15[[#This Row],[New_Followers]]-Engagement_Summary15[[#This Row],[Unfollows]]</f>
        <v>447</v>
      </c>
      <c r="G150" s="36">
        <f>(task_2_unsplit_dataset[[#This Row],[Likes]]+task_2_unsplit_dataset[[#This Row],[Shares]]+task_2_unsplit_dataset[[#This Row],[Comments]])/Engagement_Summary15[[#This Row],[Ad_Spend]]</f>
        <v>0.24675121340222328</v>
      </c>
      <c r="H150">
        <v>8.66</v>
      </c>
      <c r="I150">
        <v>12774</v>
      </c>
    </row>
    <row r="151" spans="1:9" hidden="1">
      <c r="A151" s="7">
        <v>45789</v>
      </c>
      <c r="B151" t="s">
        <v>31</v>
      </c>
      <c r="C151">
        <v>624</v>
      </c>
      <c r="D151">
        <v>247</v>
      </c>
      <c r="E151">
        <v>252763</v>
      </c>
      <c r="F151">
        <f>Engagement_Summary15[[#This Row],[New_Followers]]-Engagement_Summary15[[#This Row],[Unfollows]]</f>
        <v>377</v>
      </c>
      <c r="G151" s="36">
        <f>(task_2_unsplit_dataset[[#This Row],[Likes]]+task_2_unsplit_dataset[[#This Row],[Shares]]+task_2_unsplit_dataset[[#This Row],[Comments]])/Engagement_Summary15[[#This Row],[Ad_Spend]]</f>
        <v>0.22205263157894736</v>
      </c>
      <c r="H151">
        <v>3.89</v>
      </c>
      <c r="I151">
        <v>19000</v>
      </c>
    </row>
    <row r="152" spans="1:9" hidden="1">
      <c r="A152" s="7">
        <v>45796</v>
      </c>
      <c r="B152" t="s">
        <v>14</v>
      </c>
      <c r="C152">
        <v>1073</v>
      </c>
      <c r="D152">
        <v>141</v>
      </c>
      <c r="E152">
        <v>118393</v>
      </c>
      <c r="F152">
        <f>Engagement_Summary15[[#This Row],[New_Followers]]-Engagement_Summary15[[#This Row],[Unfollows]]</f>
        <v>932</v>
      </c>
      <c r="G152" s="36">
        <f>(task_2_unsplit_dataset[[#This Row],[Likes]]+task_2_unsplit_dataset[[#This Row],[Shares]]+task_2_unsplit_dataset[[#This Row],[Comments]])/Engagement_Summary15[[#This Row],[Ad_Spend]]</f>
        <v>0.22396982421179987</v>
      </c>
      <c r="H152">
        <v>7.95</v>
      </c>
      <c r="I152">
        <v>14051</v>
      </c>
    </row>
    <row r="153" spans="1:9" hidden="1">
      <c r="A153" s="7">
        <v>45509</v>
      </c>
      <c r="B153" t="s">
        <v>14</v>
      </c>
      <c r="C153">
        <v>1449</v>
      </c>
      <c r="D153">
        <v>96</v>
      </c>
      <c r="E153">
        <v>200636</v>
      </c>
      <c r="F153">
        <f>Engagement_Summary15[[#This Row],[New_Followers]]-Engagement_Summary15[[#This Row],[Unfollows]]</f>
        <v>1353</v>
      </c>
      <c r="G153" s="36">
        <f>(task_2_unsplit_dataset[[#This Row],[Likes]]+task_2_unsplit_dataset[[#This Row],[Shares]]+task_2_unsplit_dataset[[#This Row],[Comments]])/Engagement_Summary15[[#This Row],[Ad_Spend]]</f>
        <v>0.16460641772881573</v>
      </c>
      <c r="H153">
        <v>9.92</v>
      </c>
      <c r="I153">
        <v>15613</v>
      </c>
    </row>
    <row r="154" spans="1:9">
      <c r="A154" s="7">
        <v>45614</v>
      </c>
      <c r="B154" t="s">
        <v>31</v>
      </c>
      <c r="C154">
        <v>793</v>
      </c>
      <c r="D154">
        <v>111</v>
      </c>
      <c r="E154">
        <v>333500</v>
      </c>
      <c r="F154">
        <f>Engagement_Summary15[[#This Row],[New_Followers]]-Engagement_Summary15[[#This Row],[Unfollows]]</f>
        <v>682</v>
      </c>
      <c r="G154" s="36">
        <f>(task_2_unsplit_dataset[[#This Row],[Likes]]+task_2_unsplit_dataset[[#This Row],[Shares]]+task_2_unsplit_dataset[[#This Row],[Comments]])/Engagement_Summary15[[#This Row],[Ad_Spend]]</f>
        <v>0.59517396184062854</v>
      </c>
      <c r="H154">
        <v>6.36</v>
      </c>
      <c r="I154">
        <v>8910</v>
      </c>
    </row>
    <row r="155" spans="1:9" hidden="1">
      <c r="A155" s="7">
        <v>45803</v>
      </c>
      <c r="B155" t="s">
        <v>14</v>
      </c>
      <c r="C155">
        <v>1242</v>
      </c>
      <c r="D155">
        <v>201</v>
      </c>
      <c r="E155">
        <v>271935</v>
      </c>
      <c r="F155">
        <f>Engagement_Summary15[[#This Row],[New_Followers]]-Engagement_Summary15[[#This Row],[Unfollows]]</f>
        <v>1041</v>
      </c>
      <c r="G155" s="36">
        <f>(task_2_unsplit_dataset[[#This Row],[Likes]]+task_2_unsplit_dataset[[#This Row],[Shares]]+task_2_unsplit_dataset[[#This Row],[Comments]])/Engagement_Summary15[[#This Row],[Ad_Spend]]</f>
        <v>0.33728523426107904</v>
      </c>
      <c r="H155">
        <v>5.07</v>
      </c>
      <c r="I155">
        <v>15773</v>
      </c>
    </row>
    <row r="156" spans="1:9" hidden="1">
      <c r="A156" s="7">
        <v>45803</v>
      </c>
      <c r="B156" t="s">
        <v>24</v>
      </c>
      <c r="C156">
        <v>1389</v>
      </c>
      <c r="D156">
        <v>205</v>
      </c>
      <c r="E156">
        <v>315981</v>
      </c>
      <c r="F156">
        <f>Engagement_Summary15[[#This Row],[New_Followers]]-Engagement_Summary15[[#This Row],[Unfollows]]</f>
        <v>1184</v>
      </c>
      <c r="G156" s="36">
        <f>(task_2_unsplit_dataset[[#This Row],[Likes]]+task_2_unsplit_dataset[[#This Row],[Shares]]+task_2_unsplit_dataset[[#This Row],[Comments]])/Engagement_Summary15[[#This Row],[Ad_Spend]]</f>
        <v>0.16426317067249332</v>
      </c>
      <c r="H156">
        <v>7.62</v>
      </c>
      <c r="I156">
        <v>20595</v>
      </c>
    </row>
    <row r="157" spans="1:9" hidden="1">
      <c r="A157" s="7">
        <v>45803</v>
      </c>
      <c r="B157" t="s">
        <v>31</v>
      </c>
      <c r="C157">
        <v>826</v>
      </c>
      <c r="D157">
        <v>142</v>
      </c>
      <c r="E157">
        <v>341016</v>
      </c>
      <c r="F157">
        <f>Engagement_Summary15[[#This Row],[New_Followers]]-Engagement_Summary15[[#This Row],[Unfollows]]</f>
        <v>684</v>
      </c>
      <c r="G157" s="36">
        <f>(task_2_unsplit_dataset[[#This Row],[Likes]]+task_2_unsplit_dataset[[#This Row],[Shares]]+task_2_unsplit_dataset[[#This Row],[Comments]])/Engagement_Summary15[[#This Row],[Ad_Spend]]</f>
        <v>0.22666445017039316</v>
      </c>
      <c r="H157">
        <v>7.44</v>
      </c>
      <c r="I157">
        <v>12031</v>
      </c>
    </row>
    <row r="158" spans="1:9" hidden="1">
      <c r="A158" s="7">
        <v>45810</v>
      </c>
      <c r="B158" t="s">
        <v>14</v>
      </c>
      <c r="C158">
        <v>618</v>
      </c>
      <c r="D158">
        <v>264</v>
      </c>
      <c r="E158">
        <v>285164</v>
      </c>
      <c r="F158">
        <f>Engagement_Summary15[[#This Row],[New_Followers]]-Engagement_Summary15[[#This Row],[Unfollows]]</f>
        <v>354</v>
      </c>
      <c r="G158" s="36">
        <f>(task_2_unsplit_dataset[[#This Row],[Likes]]+task_2_unsplit_dataset[[#This Row],[Shares]]+task_2_unsplit_dataset[[#This Row],[Comments]])/Engagement_Summary15[[#This Row],[Ad_Spend]]</f>
        <v>0.24662876784769963</v>
      </c>
      <c r="H158">
        <v>4.8600000000000003</v>
      </c>
      <c r="I158">
        <v>15128</v>
      </c>
    </row>
    <row r="159" spans="1:9" hidden="1">
      <c r="A159" s="7">
        <v>45810</v>
      </c>
      <c r="B159" t="s">
        <v>24</v>
      </c>
      <c r="C159">
        <v>1419</v>
      </c>
      <c r="D159">
        <v>293</v>
      </c>
      <c r="E159">
        <v>116632</v>
      </c>
      <c r="F159">
        <f>Engagement_Summary15[[#This Row],[New_Followers]]-Engagement_Summary15[[#This Row],[Unfollows]]</f>
        <v>1126</v>
      </c>
      <c r="G159" s="36">
        <f>(task_2_unsplit_dataset[[#This Row],[Likes]]+task_2_unsplit_dataset[[#This Row],[Shares]]+task_2_unsplit_dataset[[#This Row],[Comments]])/Engagement_Summary15[[#This Row],[Ad_Spend]]</f>
        <v>0.47294097750718755</v>
      </c>
      <c r="H159">
        <v>6.93</v>
      </c>
      <c r="I159">
        <v>11826</v>
      </c>
    </row>
    <row r="160" spans="1:9" hidden="1">
      <c r="A160" s="7">
        <v>45810</v>
      </c>
      <c r="B160" t="s">
        <v>31</v>
      </c>
      <c r="C160">
        <v>637</v>
      </c>
      <c r="D160">
        <v>68</v>
      </c>
      <c r="E160">
        <v>115694</v>
      </c>
      <c r="F160">
        <f>Engagement_Summary15[[#This Row],[New_Followers]]-Engagement_Summary15[[#This Row],[Unfollows]]</f>
        <v>569</v>
      </c>
      <c r="G160" s="36">
        <f>(task_2_unsplit_dataset[[#This Row],[Likes]]+task_2_unsplit_dataset[[#This Row],[Shares]]+task_2_unsplit_dataset[[#This Row],[Comments]])/Engagement_Summary15[[#This Row],[Ad_Spend]]</f>
        <v>0.21509313803534469</v>
      </c>
      <c r="H160">
        <v>9.99</v>
      </c>
      <c r="I160">
        <v>12562</v>
      </c>
    </row>
    <row r="161" spans="1:9" hidden="1">
      <c r="A161" s="7">
        <v>45817</v>
      </c>
      <c r="B161" t="s">
        <v>14</v>
      </c>
      <c r="C161">
        <v>917</v>
      </c>
      <c r="D161">
        <v>187</v>
      </c>
      <c r="E161">
        <v>64444</v>
      </c>
      <c r="F161">
        <f>Engagement_Summary15[[#This Row],[New_Followers]]-Engagement_Summary15[[#This Row],[Unfollows]]</f>
        <v>730</v>
      </c>
      <c r="G161" s="36">
        <f>(task_2_unsplit_dataset[[#This Row],[Likes]]+task_2_unsplit_dataset[[#This Row],[Shares]]+task_2_unsplit_dataset[[#This Row],[Comments]])/Engagement_Summary15[[#This Row],[Ad_Spend]]</f>
        <v>0.20633212940905249</v>
      </c>
      <c r="H161">
        <v>5.22</v>
      </c>
      <c r="I161">
        <v>13013</v>
      </c>
    </row>
    <row r="162" spans="1:9" hidden="1">
      <c r="A162" s="7">
        <v>45817</v>
      </c>
      <c r="B162" t="s">
        <v>24</v>
      </c>
      <c r="C162">
        <v>810</v>
      </c>
      <c r="D162">
        <v>232</v>
      </c>
      <c r="E162">
        <v>362559</v>
      </c>
      <c r="F162">
        <f>Engagement_Summary15[[#This Row],[New_Followers]]-Engagement_Summary15[[#This Row],[Unfollows]]</f>
        <v>578</v>
      </c>
      <c r="G162" s="36">
        <f>(task_2_unsplit_dataset[[#This Row],[Likes]]+task_2_unsplit_dataset[[#This Row],[Shares]]+task_2_unsplit_dataset[[#This Row],[Comments]])/Engagement_Summary15[[#This Row],[Ad_Spend]]</f>
        <v>0.20963129009816805</v>
      </c>
      <c r="H162">
        <v>5.17</v>
      </c>
      <c r="I162">
        <v>12937</v>
      </c>
    </row>
    <row r="163" spans="1:9" hidden="1">
      <c r="A163" s="7">
        <v>45817</v>
      </c>
      <c r="B163" t="s">
        <v>31</v>
      </c>
      <c r="C163">
        <v>1183</v>
      </c>
      <c r="D163">
        <v>248</v>
      </c>
      <c r="E163">
        <v>226881</v>
      </c>
      <c r="F163">
        <f>Engagement_Summary15[[#This Row],[New_Followers]]-Engagement_Summary15[[#This Row],[Unfollows]]</f>
        <v>935</v>
      </c>
      <c r="G163" s="36">
        <f>(task_2_unsplit_dataset[[#This Row],[Likes]]+task_2_unsplit_dataset[[#This Row],[Shares]]+task_2_unsplit_dataset[[#This Row],[Comments]])/Engagement_Summary15[[#This Row],[Ad_Spend]]</f>
        <v>0.31271501307279481</v>
      </c>
      <c r="H163">
        <v>5.17</v>
      </c>
      <c r="I163">
        <v>14534</v>
      </c>
    </row>
    <row r="164" spans="1:9" hidden="1">
      <c r="A164" s="7">
        <v>45824</v>
      </c>
      <c r="B164" t="s">
        <v>14</v>
      </c>
      <c r="C164">
        <v>765</v>
      </c>
      <c r="D164">
        <v>67</v>
      </c>
      <c r="E164">
        <v>283537</v>
      </c>
      <c r="F164">
        <f>Engagement_Summary15[[#This Row],[New_Followers]]-Engagement_Summary15[[#This Row],[Unfollows]]</f>
        <v>698</v>
      </c>
      <c r="G164" s="36">
        <f>(task_2_unsplit_dataset[[#This Row],[Likes]]+task_2_unsplit_dataset[[#This Row],[Shares]]+task_2_unsplit_dataset[[#This Row],[Comments]])/Engagement_Summary15[[#This Row],[Ad_Spend]]</f>
        <v>0.29626008310926422</v>
      </c>
      <c r="H164">
        <v>6.18</v>
      </c>
      <c r="I164">
        <v>8182</v>
      </c>
    </row>
    <row r="165" spans="1:9" hidden="1">
      <c r="A165" s="7">
        <v>45824</v>
      </c>
      <c r="B165" t="s">
        <v>24</v>
      </c>
      <c r="C165">
        <v>540</v>
      </c>
      <c r="D165">
        <v>215</v>
      </c>
      <c r="E165">
        <v>62837</v>
      </c>
      <c r="F165">
        <f>Engagement_Summary15[[#This Row],[New_Followers]]-Engagement_Summary15[[#This Row],[Unfollows]]</f>
        <v>325</v>
      </c>
      <c r="G165" s="36">
        <f>(task_2_unsplit_dataset[[#This Row],[Likes]]+task_2_unsplit_dataset[[#This Row],[Shares]]+task_2_unsplit_dataset[[#This Row],[Comments]])/Engagement_Summary15[[#This Row],[Ad_Spend]]</f>
        <v>0.16448422044276967</v>
      </c>
      <c r="H165">
        <v>5.3</v>
      </c>
      <c r="I165">
        <v>10615</v>
      </c>
    </row>
    <row r="166" spans="1:9" hidden="1">
      <c r="A166" s="7">
        <v>45824</v>
      </c>
      <c r="B166" t="s">
        <v>31</v>
      </c>
      <c r="C166">
        <v>1145</v>
      </c>
      <c r="D166">
        <v>151</v>
      </c>
      <c r="E166">
        <v>182759</v>
      </c>
      <c r="F166">
        <f>Engagement_Summary15[[#This Row],[New_Followers]]-Engagement_Summary15[[#This Row],[Unfollows]]</f>
        <v>994</v>
      </c>
      <c r="G166" s="36">
        <f>(task_2_unsplit_dataset[[#This Row],[Likes]]+task_2_unsplit_dataset[[#This Row],[Shares]]+task_2_unsplit_dataset[[#This Row],[Comments]])/Engagement_Summary15[[#This Row],[Ad_Spend]]</f>
        <v>0.20920980655427918</v>
      </c>
      <c r="H166">
        <v>5.99</v>
      </c>
      <c r="I166">
        <v>20109</v>
      </c>
    </row>
    <row r="167" spans="1:9" hidden="1">
      <c r="A167" s="7">
        <v>45831</v>
      </c>
      <c r="B167" t="s">
        <v>14</v>
      </c>
      <c r="C167">
        <v>564</v>
      </c>
      <c r="D167">
        <v>244</v>
      </c>
      <c r="E167">
        <v>279405</v>
      </c>
      <c r="F167">
        <f>Engagement_Summary15[[#This Row],[New_Followers]]-Engagement_Summary15[[#This Row],[Unfollows]]</f>
        <v>320</v>
      </c>
      <c r="G167" s="36">
        <f>(task_2_unsplit_dataset[[#This Row],[Likes]]+task_2_unsplit_dataset[[#This Row],[Shares]]+task_2_unsplit_dataset[[#This Row],[Comments]])/Engagement_Summary15[[#This Row],[Ad_Spend]]</f>
        <v>0.14575007685213648</v>
      </c>
      <c r="H167">
        <v>8.43</v>
      </c>
      <c r="I167">
        <v>26024</v>
      </c>
    </row>
    <row r="168" spans="1:9" hidden="1">
      <c r="A168" s="7">
        <v>45831</v>
      </c>
      <c r="B168" t="s">
        <v>24</v>
      </c>
      <c r="C168">
        <v>668</v>
      </c>
      <c r="D168">
        <v>124</v>
      </c>
      <c r="E168">
        <v>257485</v>
      </c>
      <c r="F168">
        <f>Engagement_Summary15[[#This Row],[New_Followers]]-Engagement_Summary15[[#This Row],[Unfollows]]</f>
        <v>544</v>
      </c>
      <c r="G168" s="36">
        <f>(task_2_unsplit_dataset[[#This Row],[Likes]]+task_2_unsplit_dataset[[#This Row],[Shares]]+task_2_unsplit_dataset[[#This Row],[Comments]])/Engagement_Summary15[[#This Row],[Ad_Spend]]</f>
        <v>0.12169846614291059</v>
      </c>
      <c r="H168">
        <v>7.55</v>
      </c>
      <c r="I168">
        <v>26730</v>
      </c>
    </row>
    <row r="169" spans="1:9" hidden="1">
      <c r="A169" s="7">
        <v>45831</v>
      </c>
      <c r="B169" t="s">
        <v>31</v>
      </c>
      <c r="C169">
        <v>761</v>
      </c>
      <c r="D169">
        <v>241</v>
      </c>
      <c r="E169">
        <v>154977</v>
      </c>
      <c r="F169">
        <f>Engagement_Summary15[[#This Row],[New_Followers]]-Engagement_Summary15[[#This Row],[Unfollows]]</f>
        <v>520</v>
      </c>
      <c r="G169" s="36">
        <f>(task_2_unsplit_dataset[[#This Row],[Likes]]+task_2_unsplit_dataset[[#This Row],[Shares]]+task_2_unsplit_dataset[[#This Row],[Comments]])/Engagement_Summary15[[#This Row],[Ad_Spend]]</f>
        <v>0.28363154406891983</v>
      </c>
      <c r="H169">
        <v>5.63</v>
      </c>
      <c r="I169">
        <v>10563</v>
      </c>
    </row>
    <row r="170" spans="1:9" hidden="1">
      <c r="A170" s="7">
        <v>45838</v>
      </c>
      <c r="B170" t="s">
        <v>14</v>
      </c>
      <c r="C170">
        <v>593</v>
      </c>
      <c r="D170">
        <v>108</v>
      </c>
      <c r="E170">
        <v>216500</v>
      </c>
      <c r="F170">
        <f>Engagement_Summary15[[#This Row],[New_Followers]]-Engagement_Summary15[[#This Row],[Unfollows]]</f>
        <v>485</v>
      </c>
      <c r="G170" s="36">
        <f>(task_2_unsplit_dataset[[#This Row],[Likes]]+task_2_unsplit_dataset[[#This Row],[Shares]]+task_2_unsplit_dataset[[#This Row],[Comments]])/Engagement_Summary15[[#This Row],[Ad_Spend]]</f>
        <v>6.7198549410698097E-2</v>
      </c>
      <c r="H170">
        <v>4.71</v>
      </c>
      <c r="I170">
        <v>27575</v>
      </c>
    </row>
    <row r="171" spans="1:9" hidden="1">
      <c r="A171" s="7">
        <v>45838</v>
      </c>
      <c r="B171" t="s">
        <v>24</v>
      </c>
      <c r="C171">
        <v>1349</v>
      </c>
      <c r="D171">
        <v>115</v>
      </c>
      <c r="E171">
        <v>102102</v>
      </c>
      <c r="F171">
        <f>Engagement_Summary15[[#This Row],[New_Followers]]-Engagement_Summary15[[#This Row],[Unfollows]]</f>
        <v>1234</v>
      </c>
      <c r="G171" s="36">
        <f>(task_2_unsplit_dataset[[#This Row],[Likes]]+task_2_unsplit_dataset[[#This Row],[Shares]]+task_2_unsplit_dataset[[#This Row],[Comments]])/Engagement_Summary15[[#This Row],[Ad_Spend]]</f>
        <v>0.14248221562262586</v>
      </c>
      <c r="H171">
        <v>5.28</v>
      </c>
      <c r="I171">
        <v>14479</v>
      </c>
    </row>
    <row r="172" spans="1:9" hidden="1">
      <c r="A172" s="7">
        <v>45838</v>
      </c>
      <c r="B172" t="s">
        <v>31</v>
      </c>
      <c r="C172">
        <v>693</v>
      </c>
      <c r="D172">
        <v>97</v>
      </c>
      <c r="E172">
        <v>92025</v>
      </c>
      <c r="F172">
        <f>Engagement_Summary15[[#This Row],[New_Followers]]-Engagement_Summary15[[#This Row],[Unfollows]]</f>
        <v>596</v>
      </c>
      <c r="G172" s="36">
        <f>(task_2_unsplit_dataset[[#This Row],[Likes]]+task_2_unsplit_dataset[[#This Row],[Shares]]+task_2_unsplit_dataset[[#This Row],[Comments]])/Engagement_Summary15[[#This Row],[Ad_Spend]]</f>
        <v>0.28928683631793906</v>
      </c>
      <c r="H172">
        <v>5.95</v>
      </c>
      <c r="I172">
        <v>15915</v>
      </c>
    </row>
    <row r="173" spans="1:9" hidden="1">
      <c r="A173" s="7">
        <v>45845</v>
      </c>
      <c r="B173" t="s">
        <v>14</v>
      </c>
      <c r="C173">
        <v>974</v>
      </c>
      <c r="D173">
        <v>143</v>
      </c>
      <c r="E173">
        <v>247965</v>
      </c>
      <c r="F173">
        <f>Engagement_Summary15[[#This Row],[New_Followers]]-Engagement_Summary15[[#This Row],[Unfollows]]</f>
        <v>831</v>
      </c>
      <c r="G173" s="36">
        <f>(task_2_unsplit_dataset[[#This Row],[Likes]]+task_2_unsplit_dataset[[#This Row],[Shares]]+task_2_unsplit_dataset[[#This Row],[Comments]])/Engagement_Summary15[[#This Row],[Ad_Spend]]</f>
        <v>0.40134722331009637</v>
      </c>
      <c r="H173">
        <v>9.98</v>
      </c>
      <c r="I173">
        <v>12767</v>
      </c>
    </row>
    <row r="174" spans="1:9" hidden="1">
      <c r="A174" s="7">
        <v>45845</v>
      </c>
      <c r="B174" t="s">
        <v>24</v>
      </c>
      <c r="C174">
        <v>1155</v>
      </c>
      <c r="D174">
        <v>122</v>
      </c>
      <c r="E174">
        <v>387352</v>
      </c>
      <c r="F174">
        <f>Engagement_Summary15[[#This Row],[New_Followers]]-Engagement_Summary15[[#This Row],[Unfollows]]</f>
        <v>1033</v>
      </c>
      <c r="G174" s="36">
        <f>(task_2_unsplit_dataset[[#This Row],[Likes]]+task_2_unsplit_dataset[[#This Row],[Shares]]+task_2_unsplit_dataset[[#This Row],[Comments]])/Engagement_Summary15[[#This Row],[Ad_Spend]]</f>
        <v>0.29926047658175842</v>
      </c>
      <c r="H174">
        <v>9.93</v>
      </c>
      <c r="I174">
        <v>12170</v>
      </c>
    </row>
    <row r="175" spans="1:9" hidden="1">
      <c r="A175" s="7">
        <v>45845</v>
      </c>
      <c r="B175" t="s">
        <v>31</v>
      </c>
      <c r="C175">
        <v>1051</v>
      </c>
      <c r="D175">
        <v>246</v>
      </c>
      <c r="E175">
        <v>253985</v>
      </c>
      <c r="F175">
        <f>Engagement_Summary15[[#This Row],[New_Followers]]-Engagement_Summary15[[#This Row],[Unfollows]]</f>
        <v>805</v>
      </c>
      <c r="G175" s="36">
        <f>(task_2_unsplit_dataset[[#This Row],[Likes]]+task_2_unsplit_dataset[[#This Row],[Shares]]+task_2_unsplit_dataset[[#This Row],[Comments]])/Engagement_Summary15[[#This Row],[Ad_Spend]]</f>
        <v>0.29151138716356106</v>
      </c>
      <c r="H175">
        <v>9.08</v>
      </c>
      <c r="I175">
        <v>7245</v>
      </c>
    </row>
    <row r="176" spans="1:9" hidden="1">
      <c r="A176" s="7">
        <v>45852</v>
      </c>
      <c r="B176" t="s">
        <v>14</v>
      </c>
      <c r="C176">
        <v>1457</v>
      </c>
      <c r="D176">
        <v>183</v>
      </c>
      <c r="E176">
        <v>129640</v>
      </c>
      <c r="F176">
        <f>Engagement_Summary15[[#This Row],[New_Followers]]-Engagement_Summary15[[#This Row],[Unfollows]]</f>
        <v>1274</v>
      </c>
      <c r="G176" s="36">
        <f>(task_2_unsplit_dataset[[#This Row],[Likes]]+task_2_unsplit_dataset[[#This Row],[Shares]]+task_2_unsplit_dataset[[#This Row],[Comments]])/Engagement_Summary15[[#This Row],[Ad_Spend]]</f>
        <v>0.14147092799383904</v>
      </c>
      <c r="H176">
        <v>7.98</v>
      </c>
      <c r="I176">
        <v>12985</v>
      </c>
    </row>
    <row r="177" spans="1:9" hidden="1">
      <c r="A177" s="7">
        <v>45852</v>
      </c>
      <c r="B177" t="s">
        <v>24</v>
      </c>
      <c r="C177">
        <v>670</v>
      </c>
      <c r="D177">
        <v>242</v>
      </c>
      <c r="E177">
        <v>281913</v>
      </c>
      <c r="F177">
        <f>Engagement_Summary15[[#This Row],[New_Followers]]-Engagement_Summary15[[#This Row],[Unfollows]]</f>
        <v>428</v>
      </c>
      <c r="G177" s="36">
        <f>(task_2_unsplit_dataset[[#This Row],[Likes]]+task_2_unsplit_dataset[[#This Row],[Shares]]+task_2_unsplit_dataset[[#This Row],[Comments]])/Engagement_Summary15[[#This Row],[Ad_Spend]]</f>
        <v>0.17793246626366246</v>
      </c>
      <c r="H177">
        <v>9.6199999999999992</v>
      </c>
      <c r="I177">
        <v>16377</v>
      </c>
    </row>
    <row r="178" spans="1:9" hidden="1">
      <c r="A178" s="7">
        <v>45852</v>
      </c>
      <c r="B178" t="s">
        <v>31</v>
      </c>
      <c r="C178">
        <v>1111</v>
      </c>
      <c r="D178">
        <v>159</v>
      </c>
      <c r="E178">
        <v>360770</v>
      </c>
      <c r="F178">
        <f>Engagement_Summary15[[#This Row],[New_Followers]]-Engagement_Summary15[[#This Row],[Unfollows]]</f>
        <v>952</v>
      </c>
      <c r="G178" s="36">
        <f>(task_2_unsplit_dataset[[#This Row],[Likes]]+task_2_unsplit_dataset[[#This Row],[Shares]]+task_2_unsplit_dataset[[#This Row],[Comments]])/Engagement_Summary15[[#This Row],[Ad_Spend]]</f>
        <v>0.22352222125207369</v>
      </c>
      <c r="H178">
        <v>8.7100000000000009</v>
      </c>
      <c r="I178">
        <v>11453</v>
      </c>
    </row>
    <row r="179" spans="1:9" hidden="1">
      <c r="A179" s="7">
        <v>45859</v>
      </c>
      <c r="B179" t="s">
        <v>14</v>
      </c>
      <c r="C179">
        <v>1197</v>
      </c>
      <c r="D179">
        <v>246</v>
      </c>
      <c r="E179">
        <v>127273</v>
      </c>
      <c r="F179">
        <f>Engagement_Summary15[[#This Row],[New_Followers]]-Engagement_Summary15[[#This Row],[Unfollows]]</f>
        <v>951</v>
      </c>
      <c r="G179" s="36">
        <f>(task_2_unsplit_dataset[[#This Row],[Likes]]+task_2_unsplit_dataset[[#This Row],[Shares]]+task_2_unsplit_dataset[[#This Row],[Comments]])/Engagement_Summary15[[#This Row],[Ad_Spend]]</f>
        <v>0.35884119126836</v>
      </c>
      <c r="H179">
        <v>6.69</v>
      </c>
      <c r="I179">
        <v>12323</v>
      </c>
    </row>
    <row r="180" spans="1:9" hidden="1">
      <c r="A180" s="7">
        <v>45859</v>
      </c>
      <c r="B180" t="s">
        <v>24</v>
      </c>
      <c r="C180">
        <v>754</v>
      </c>
      <c r="D180">
        <v>150</v>
      </c>
      <c r="E180">
        <v>189622</v>
      </c>
      <c r="F180">
        <f>Engagement_Summary15[[#This Row],[New_Followers]]-Engagement_Summary15[[#This Row],[Unfollows]]</f>
        <v>604</v>
      </c>
      <c r="G180" s="36">
        <f>(task_2_unsplit_dataset[[#This Row],[Likes]]+task_2_unsplit_dataset[[#This Row],[Shares]]+task_2_unsplit_dataset[[#This Row],[Comments]])/Engagement_Summary15[[#This Row],[Ad_Spend]]</f>
        <v>0.47854924019813616</v>
      </c>
      <c r="H180">
        <v>4.25</v>
      </c>
      <c r="I180">
        <v>11911</v>
      </c>
    </row>
    <row r="181" spans="1:9" hidden="1">
      <c r="A181" s="7">
        <v>45859</v>
      </c>
      <c r="B181" t="s">
        <v>31</v>
      </c>
      <c r="C181">
        <v>1246</v>
      </c>
      <c r="D181">
        <v>107</v>
      </c>
      <c r="E181">
        <v>350949</v>
      </c>
      <c r="F181">
        <f>Engagement_Summary15[[#This Row],[New_Followers]]-Engagement_Summary15[[#This Row],[Unfollows]]</f>
        <v>1139</v>
      </c>
      <c r="G181" s="36">
        <f>(task_2_unsplit_dataset[[#This Row],[Likes]]+task_2_unsplit_dataset[[#This Row],[Shares]]+task_2_unsplit_dataset[[#This Row],[Comments]])/Engagement_Summary15[[#This Row],[Ad_Spend]]</f>
        <v>0.10823834010572117</v>
      </c>
      <c r="H181">
        <v>4.9800000000000004</v>
      </c>
      <c r="I181">
        <v>27809</v>
      </c>
    </row>
    <row r="182" spans="1:9" hidden="1">
      <c r="A182" s="7">
        <v>45866</v>
      </c>
      <c r="B182" t="s">
        <v>14</v>
      </c>
      <c r="C182">
        <v>780</v>
      </c>
      <c r="D182">
        <v>213</v>
      </c>
      <c r="E182">
        <v>121431</v>
      </c>
      <c r="F182">
        <f>Engagement_Summary15[[#This Row],[New_Followers]]-Engagement_Summary15[[#This Row],[Unfollows]]</f>
        <v>567</v>
      </c>
      <c r="G182" s="36">
        <f>(task_2_unsplit_dataset[[#This Row],[Likes]]+task_2_unsplit_dataset[[#This Row],[Shares]]+task_2_unsplit_dataset[[#This Row],[Comments]])/Engagement_Summary15[[#This Row],[Ad_Spend]]</f>
        <v>9.1315691390234807E-2</v>
      </c>
      <c r="H182">
        <v>4.97</v>
      </c>
      <c r="I182">
        <v>21464</v>
      </c>
    </row>
    <row r="183" spans="1:9" hidden="1">
      <c r="A183" s="7">
        <v>45866</v>
      </c>
      <c r="B183" t="s">
        <v>24</v>
      </c>
      <c r="C183">
        <v>1425</v>
      </c>
      <c r="D183">
        <v>143</v>
      </c>
      <c r="E183">
        <v>116742</v>
      </c>
      <c r="F183">
        <f>Engagement_Summary15[[#This Row],[New_Followers]]-Engagement_Summary15[[#This Row],[Unfollows]]</f>
        <v>1282</v>
      </c>
      <c r="G183" s="36">
        <f>(task_2_unsplit_dataset[[#This Row],[Likes]]+task_2_unsplit_dataset[[#This Row],[Shares]]+task_2_unsplit_dataset[[#This Row],[Comments]])/Engagement_Summary15[[#This Row],[Ad_Spend]]</f>
        <v>8.5711125857111256E-2</v>
      </c>
      <c r="H183">
        <v>3.71</v>
      </c>
      <c r="I183">
        <v>27126</v>
      </c>
    </row>
    <row r="184" spans="1:9" hidden="1">
      <c r="A184" s="7">
        <v>45754</v>
      </c>
      <c r="B184" t="s">
        <v>14</v>
      </c>
      <c r="C184">
        <v>1417</v>
      </c>
      <c r="D184">
        <v>80</v>
      </c>
      <c r="E184">
        <v>340987</v>
      </c>
      <c r="F184">
        <f>Engagement_Summary15[[#This Row],[New_Followers]]-Engagement_Summary15[[#This Row],[Unfollows]]</f>
        <v>1337</v>
      </c>
      <c r="G184" s="36">
        <f>(task_2_unsplit_dataset[[#This Row],[Likes]]+task_2_unsplit_dataset[[#This Row],[Shares]]+task_2_unsplit_dataset[[#This Row],[Comments]])/Engagement_Summary15[[#This Row],[Ad_Spend]]</f>
        <v>0.54503167062549485</v>
      </c>
      <c r="H184">
        <v>6.13</v>
      </c>
      <c r="I184">
        <v>10104</v>
      </c>
    </row>
    <row r="185" spans="1:9" hidden="1">
      <c r="A185" s="7">
        <v>45873</v>
      </c>
      <c r="B185" t="s">
        <v>14</v>
      </c>
      <c r="C185">
        <v>949</v>
      </c>
      <c r="D185">
        <v>282</v>
      </c>
      <c r="E185">
        <v>87126</v>
      </c>
      <c r="F185">
        <f>Engagement_Summary15[[#This Row],[New_Followers]]-Engagement_Summary15[[#This Row],[Unfollows]]</f>
        <v>667</v>
      </c>
      <c r="G185" s="36">
        <f>(task_2_unsplit_dataset[[#This Row],[Likes]]+task_2_unsplit_dataset[[#This Row],[Shares]]+task_2_unsplit_dataset[[#This Row],[Comments]])/Engagement_Summary15[[#This Row],[Ad_Spend]]</f>
        <v>0.52965084056900058</v>
      </c>
      <c r="H185">
        <v>4.96</v>
      </c>
      <c r="I185">
        <v>5413</v>
      </c>
    </row>
    <row r="186" spans="1:9" hidden="1">
      <c r="A186" s="7">
        <v>45873</v>
      </c>
      <c r="B186" t="s">
        <v>24</v>
      </c>
      <c r="C186">
        <v>640</v>
      </c>
      <c r="D186">
        <v>141</v>
      </c>
      <c r="E186">
        <v>267546</v>
      </c>
      <c r="F186">
        <f>Engagement_Summary15[[#This Row],[New_Followers]]-Engagement_Summary15[[#This Row],[Unfollows]]</f>
        <v>499</v>
      </c>
      <c r="G186" s="36">
        <f>(task_2_unsplit_dataset[[#This Row],[Likes]]+task_2_unsplit_dataset[[#This Row],[Shares]]+task_2_unsplit_dataset[[#This Row],[Comments]])/Engagement_Summary15[[#This Row],[Ad_Spend]]</f>
        <v>0.13368983957219252</v>
      </c>
      <c r="H186">
        <v>8.58</v>
      </c>
      <c r="I186">
        <v>25058</v>
      </c>
    </row>
    <row r="187" spans="1:9" hidden="1">
      <c r="A187" s="7">
        <v>45873</v>
      </c>
      <c r="B187" t="s">
        <v>31</v>
      </c>
      <c r="C187">
        <v>616</v>
      </c>
      <c r="D187">
        <v>93</v>
      </c>
      <c r="E187">
        <v>133082</v>
      </c>
      <c r="F187">
        <f>Engagement_Summary15[[#This Row],[New_Followers]]-Engagement_Summary15[[#This Row],[Unfollows]]</f>
        <v>523</v>
      </c>
      <c r="G187" s="36">
        <f>(task_2_unsplit_dataset[[#This Row],[Likes]]+task_2_unsplit_dataset[[#This Row],[Shares]]+task_2_unsplit_dataset[[#This Row],[Comments]])/Engagement_Summary15[[#This Row],[Ad_Spend]]</f>
        <v>0.29557995956946947</v>
      </c>
      <c r="H187">
        <v>8.51</v>
      </c>
      <c r="I187">
        <v>18303</v>
      </c>
    </row>
    <row r="188" spans="1:9" hidden="1">
      <c r="A188" s="7">
        <v>45880</v>
      </c>
      <c r="B188" t="s">
        <v>14</v>
      </c>
      <c r="C188">
        <v>1080</v>
      </c>
      <c r="D188">
        <v>184</v>
      </c>
      <c r="E188">
        <v>340557</v>
      </c>
      <c r="F188">
        <f>Engagement_Summary15[[#This Row],[New_Followers]]-Engagement_Summary15[[#This Row],[Unfollows]]</f>
        <v>896</v>
      </c>
      <c r="G188" s="36">
        <f>(task_2_unsplit_dataset[[#This Row],[Likes]]+task_2_unsplit_dataset[[#This Row],[Shares]]+task_2_unsplit_dataset[[#This Row],[Comments]])/Engagement_Summary15[[#This Row],[Ad_Spend]]</f>
        <v>0.33333333333333331</v>
      </c>
      <c r="H188">
        <v>5.41</v>
      </c>
      <c r="I188">
        <v>5526</v>
      </c>
    </row>
    <row r="189" spans="1:9" hidden="1">
      <c r="A189" s="7">
        <v>45880</v>
      </c>
      <c r="B189" t="s">
        <v>24</v>
      </c>
      <c r="C189">
        <v>938</v>
      </c>
      <c r="D189">
        <v>236</v>
      </c>
      <c r="E189">
        <v>116472</v>
      </c>
      <c r="F189">
        <f>Engagement_Summary15[[#This Row],[New_Followers]]-Engagement_Summary15[[#This Row],[Unfollows]]</f>
        <v>702</v>
      </c>
      <c r="G189" s="36">
        <f>(task_2_unsplit_dataset[[#This Row],[Likes]]+task_2_unsplit_dataset[[#This Row],[Shares]]+task_2_unsplit_dataset[[#This Row],[Comments]])/Engagement_Summary15[[#This Row],[Ad_Spend]]</f>
        <v>0.24833906071019474</v>
      </c>
      <c r="H189">
        <v>8.7200000000000006</v>
      </c>
      <c r="I189">
        <v>17460</v>
      </c>
    </row>
    <row r="190" spans="1:9" hidden="1">
      <c r="A190" s="7">
        <v>45880</v>
      </c>
      <c r="B190" t="s">
        <v>31</v>
      </c>
      <c r="C190">
        <v>1007</v>
      </c>
      <c r="D190">
        <v>258</v>
      </c>
      <c r="E190">
        <v>113412</v>
      </c>
      <c r="F190">
        <f>Engagement_Summary15[[#This Row],[New_Followers]]-Engagement_Summary15[[#This Row],[Unfollows]]</f>
        <v>749</v>
      </c>
      <c r="G190" s="36">
        <f>(task_2_unsplit_dataset[[#This Row],[Likes]]+task_2_unsplit_dataset[[#This Row],[Shares]]+task_2_unsplit_dataset[[#This Row],[Comments]])/Engagement_Summary15[[#This Row],[Ad_Spend]]</f>
        <v>0.31226252158894646</v>
      </c>
      <c r="H190">
        <v>7.71</v>
      </c>
      <c r="I190">
        <v>14475</v>
      </c>
    </row>
    <row r="191" spans="1:9" hidden="1">
      <c r="A191" s="7">
        <v>45887</v>
      </c>
      <c r="B191" t="s">
        <v>14</v>
      </c>
      <c r="C191">
        <v>541</v>
      </c>
      <c r="D191">
        <v>208</v>
      </c>
      <c r="E191">
        <v>157547</v>
      </c>
      <c r="F191">
        <f>Engagement_Summary15[[#This Row],[New_Followers]]-Engagement_Summary15[[#This Row],[Unfollows]]</f>
        <v>333</v>
      </c>
      <c r="G191" s="36">
        <f>(task_2_unsplit_dataset[[#This Row],[Likes]]+task_2_unsplit_dataset[[#This Row],[Shares]]+task_2_unsplit_dataset[[#This Row],[Comments]])/Engagement_Summary15[[#This Row],[Ad_Spend]]</f>
        <v>0.14190060509870053</v>
      </c>
      <c r="H191">
        <v>8.35</v>
      </c>
      <c r="I191">
        <v>20162</v>
      </c>
    </row>
    <row r="192" spans="1:9" hidden="1">
      <c r="A192" s="7">
        <v>45887</v>
      </c>
      <c r="B192" t="s">
        <v>24</v>
      </c>
      <c r="C192">
        <v>745</v>
      </c>
      <c r="D192">
        <v>98</v>
      </c>
      <c r="E192">
        <v>354816</v>
      </c>
      <c r="F192">
        <f>Engagement_Summary15[[#This Row],[New_Followers]]-Engagement_Summary15[[#This Row],[Unfollows]]</f>
        <v>647</v>
      </c>
      <c r="G192" s="36">
        <f>(task_2_unsplit_dataset[[#This Row],[Likes]]+task_2_unsplit_dataset[[#This Row],[Shares]]+task_2_unsplit_dataset[[#This Row],[Comments]])/Engagement_Summary15[[#This Row],[Ad_Spend]]</f>
        <v>0.23346781266444483</v>
      </c>
      <c r="H192">
        <v>4.03</v>
      </c>
      <c r="I192">
        <v>17103</v>
      </c>
    </row>
    <row r="193" spans="1:9" hidden="1">
      <c r="A193" s="7">
        <v>45887</v>
      </c>
      <c r="B193" t="s">
        <v>31</v>
      </c>
      <c r="C193">
        <v>936</v>
      </c>
      <c r="D193">
        <v>97</v>
      </c>
      <c r="E193">
        <v>151799</v>
      </c>
      <c r="F193">
        <f>Engagement_Summary15[[#This Row],[New_Followers]]-Engagement_Summary15[[#This Row],[Unfollows]]</f>
        <v>839</v>
      </c>
      <c r="G193" s="36">
        <f>(task_2_unsplit_dataset[[#This Row],[Likes]]+task_2_unsplit_dataset[[#This Row],[Shares]]+task_2_unsplit_dataset[[#This Row],[Comments]])/Engagement_Summary15[[#This Row],[Ad_Spend]]</f>
        <v>0.21091779315697562</v>
      </c>
      <c r="H193">
        <v>9.3699999999999992</v>
      </c>
      <c r="I193">
        <v>15461</v>
      </c>
    </row>
    <row r="194" spans="1:9" hidden="1">
      <c r="A194" s="7">
        <v>45894</v>
      </c>
      <c r="B194" t="s">
        <v>14</v>
      </c>
      <c r="C194">
        <v>1183</v>
      </c>
      <c r="D194">
        <v>223</v>
      </c>
      <c r="E194">
        <v>143811</v>
      </c>
      <c r="F194">
        <f>Engagement_Summary15[[#This Row],[New_Followers]]-Engagement_Summary15[[#This Row],[Unfollows]]</f>
        <v>960</v>
      </c>
      <c r="G194" s="36">
        <f>(task_2_unsplit_dataset[[#This Row],[Likes]]+task_2_unsplit_dataset[[#This Row],[Shares]]+task_2_unsplit_dataset[[#This Row],[Comments]])/Engagement_Summary15[[#This Row],[Ad_Spend]]</f>
        <v>0.23553363796769669</v>
      </c>
      <c r="H194">
        <v>6.07</v>
      </c>
      <c r="I194">
        <v>22103</v>
      </c>
    </row>
    <row r="195" spans="1:9" hidden="1">
      <c r="A195" s="7">
        <v>45894</v>
      </c>
      <c r="B195" t="s">
        <v>24</v>
      </c>
      <c r="C195">
        <v>1413</v>
      </c>
      <c r="D195">
        <v>245</v>
      </c>
      <c r="E195">
        <v>296450</v>
      </c>
      <c r="F195">
        <f>Engagement_Summary15[[#This Row],[New_Followers]]-Engagement_Summary15[[#This Row],[Unfollows]]</f>
        <v>1168</v>
      </c>
      <c r="G195" s="36">
        <f>(task_2_unsplit_dataset[[#This Row],[Likes]]+task_2_unsplit_dataset[[#This Row],[Shares]]+task_2_unsplit_dataset[[#This Row],[Comments]])/Engagement_Summary15[[#This Row],[Ad_Spend]]</f>
        <v>0.33686021505376346</v>
      </c>
      <c r="H195">
        <v>6.52</v>
      </c>
      <c r="I195">
        <v>11625</v>
      </c>
    </row>
    <row r="196" spans="1:9">
      <c r="A196" s="7">
        <v>45621</v>
      </c>
      <c r="B196" t="s">
        <v>24</v>
      </c>
      <c r="C196">
        <v>954</v>
      </c>
      <c r="D196">
        <v>271</v>
      </c>
      <c r="E196">
        <v>160936</v>
      </c>
      <c r="F196">
        <f>Engagement_Summary15[[#This Row],[New_Followers]]-Engagement_Summary15[[#This Row],[Unfollows]]</f>
        <v>683</v>
      </c>
      <c r="G196" s="36">
        <f>(task_2_unsplit_dataset[[#This Row],[Likes]]+task_2_unsplit_dataset[[#This Row],[Shares]]+task_2_unsplit_dataset[[#This Row],[Comments]])/Engagement_Summary15[[#This Row],[Ad_Spend]]</f>
        <v>0.55707762557077622</v>
      </c>
      <c r="H196">
        <v>8.83</v>
      </c>
      <c r="I196">
        <v>8760</v>
      </c>
    </row>
    <row r="197" spans="1:9" hidden="1">
      <c r="A197" s="7">
        <v>45901</v>
      </c>
      <c r="B197" t="s">
        <v>14</v>
      </c>
      <c r="C197">
        <v>1052</v>
      </c>
      <c r="D197">
        <v>180</v>
      </c>
      <c r="E197">
        <v>272534</v>
      </c>
      <c r="F197">
        <f>Engagement_Summary15[[#This Row],[New_Followers]]-Engagement_Summary15[[#This Row],[Unfollows]]</f>
        <v>872</v>
      </c>
      <c r="G197" s="36">
        <f>(task_2_unsplit_dataset[[#This Row],[Likes]]+task_2_unsplit_dataset[[#This Row],[Shares]]+task_2_unsplit_dataset[[#This Row],[Comments]])/Engagement_Summary15[[#This Row],[Ad_Spend]]</f>
        <v>0.3520560190703218</v>
      </c>
      <c r="H197">
        <v>5.34</v>
      </c>
      <c r="I197">
        <v>13424</v>
      </c>
    </row>
    <row r="198" spans="1:9" hidden="1">
      <c r="A198" s="7">
        <v>45901</v>
      </c>
      <c r="B198" t="s">
        <v>24</v>
      </c>
      <c r="C198">
        <v>572</v>
      </c>
      <c r="D198">
        <v>270</v>
      </c>
      <c r="E198">
        <v>82265</v>
      </c>
      <c r="F198">
        <f>Engagement_Summary15[[#This Row],[New_Followers]]-Engagement_Summary15[[#This Row],[Unfollows]]</f>
        <v>302</v>
      </c>
      <c r="G198" s="36">
        <f>(task_2_unsplit_dataset[[#This Row],[Likes]]+task_2_unsplit_dataset[[#This Row],[Shares]]+task_2_unsplit_dataset[[#This Row],[Comments]])/Engagement_Summary15[[#This Row],[Ad_Spend]]</f>
        <v>0.25083713850837136</v>
      </c>
      <c r="H198">
        <v>3.65</v>
      </c>
      <c r="I198">
        <v>13140</v>
      </c>
    </row>
    <row r="199" spans="1:9" hidden="1">
      <c r="A199" s="7">
        <v>45901</v>
      </c>
      <c r="B199" t="s">
        <v>31</v>
      </c>
      <c r="C199">
        <v>503</v>
      </c>
      <c r="D199">
        <v>253</v>
      </c>
      <c r="E199">
        <v>313562</v>
      </c>
      <c r="F199">
        <f>Engagement_Summary15[[#This Row],[New_Followers]]-Engagement_Summary15[[#This Row],[Unfollows]]</f>
        <v>250</v>
      </c>
      <c r="G199" s="36">
        <f>(task_2_unsplit_dataset[[#This Row],[Likes]]+task_2_unsplit_dataset[[#This Row],[Shares]]+task_2_unsplit_dataset[[#This Row],[Comments]])/Engagement_Summary15[[#This Row],[Ad_Spend]]</f>
        <v>0.173303306377316</v>
      </c>
      <c r="H199">
        <v>4.18</v>
      </c>
      <c r="I199">
        <v>19538</v>
      </c>
    </row>
    <row r="200" spans="1:9" hidden="1">
      <c r="A200" s="7">
        <v>45908</v>
      </c>
      <c r="B200" t="s">
        <v>14</v>
      </c>
      <c r="C200">
        <v>1017</v>
      </c>
      <c r="D200">
        <v>197</v>
      </c>
      <c r="E200">
        <v>89918</v>
      </c>
      <c r="F200">
        <f>Engagement_Summary15[[#This Row],[New_Followers]]-Engagement_Summary15[[#This Row],[Unfollows]]</f>
        <v>820</v>
      </c>
      <c r="G200" s="36">
        <f>(task_2_unsplit_dataset[[#This Row],[Likes]]+task_2_unsplit_dataset[[#This Row],[Shares]]+task_2_unsplit_dataset[[#This Row],[Comments]])/Engagement_Summary15[[#This Row],[Ad_Spend]]</f>
        <v>0.29907372160893286</v>
      </c>
      <c r="H200">
        <v>3.91</v>
      </c>
      <c r="I200">
        <v>7881</v>
      </c>
    </row>
    <row r="201" spans="1:9" hidden="1">
      <c r="A201" s="7">
        <v>45908</v>
      </c>
      <c r="B201" t="s">
        <v>24</v>
      </c>
      <c r="C201">
        <v>860</v>
      </c>
      <c r="D201">
        <v>244</v>
      </c>
      <c r="E201">
        <v>348686</v>
      </c>
      <c r="F201">
        <f>Engagement_Summary15[[#This Row],[New_Followers]]-Engagement_Summary15[[#This Row],[Unfollows]]</f>
        <v>616</v>
      </c>
      <c r="G201" s="36">
        <f>(task_2_unsplit_dataset[[#This Row],[Likes]]+task_2_unsplit_dataset[[#This Row],[Shares]]+task_2_unsplit_dataset[[#This Row],[Comments]])/Engagement_Summary15[[#This Row],[Ad_Spend]]</f>
        <v>0.41163075845156771</v>
      </c>
      <c r="H201">
        <v>5.12</v>
      </c>
      <c r="I201">
        <v>11418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4DE8D-EF71-4071-BB9C-4153D5CEE165}">
  <dimension ref="A2:I72"/>
  <sheetViews>
    <sheetView workbookViewId="0">
      <selection activeCell="C34" sqref="C34"/>
    </sheetView>
  </sheetViews>
  <sheetFormatPr defaultRowHeight="14.4"/>
  <cols>
    <col min="1" max="1" width="21.5546875" bestFit="1" customWidth="1"/>
    <col min="2" max="2" width="18.77734375" bestFit="1" customWidth="1"/>
  </cols>
  <sheetData>
    <row r="2" spans="1:9">
      <c r="A2" s="33" t="s">
        <v>483</v>
      </c>
    </row>
    <row r="3" spans="1:9">
      <c r="A3" s="9" t="s">
        <v>473</v>
      </c>
      <c r="B3" t="s">
        <v>472</v>
      </c>
      <c r="E3" s="32" t="s">
        <v>476</v>
      </c>
      <c r="F3" s="32"/>
      <c r="G3" s="32"/>
      <c r="H3" s="32"/>
      <c r="I3" s="32"/>
    </row>
    <row r="4" spans="1:9">
      <c r="A4" s="29" t="s">
        <v>415</v>
      </c>
      <c r="B4" s="30">
        <v>3576</v>
      </c>
      <c r="E4">
        <f>CORREL(Engagement_Summary15[Ad_Spend],Engagement_Summary15[Follower growth])</f>
        <v>-1.6915989818837351E-2</v>
      </c>
    </row>
    <row r="5" spans="1:9">
      <c r="A5" s="10" t="s">
        <v>443</v>
      </c>
      <c r="B5">
        <v>3569</v>
      </c>
    </row>
    <row r="6" spans="1:9">
      <c r="A6" s="10" t="s">
        <v>393</v>
      </c>
      <c r="B6">
        <v>3419</v>
      </c>
      <c r="E6" s="32" t="s">
        <v>484</v>
      </c>
    </row>
    <row r="7" spans="1:9">
      <c r="A7" s="10" t="s">
        <v>437</v>
      </c>
      <c r="B7">
        <v>3291</v>
      </c>
    </row>
    <row r="8" spans="1:9">
      <c r="A8" s="10" t="s">
        <v>453</v>
      </c>
      <c r="B8">
        <v>3236</v>
      </c>
    </row>
    <row r="9" spans="1:9">
      <c r="A9" s="10" t="s">
        <v>438</v>
      </c>
      <c r="B9">
        <v>3216</v>
      </c>
    </row>
    <row r="10" spans="1:9">
      <c r="A10" s="10" t="s">
        <v>395</v>
      </c>
      <c r="B10">
        <v>3175</v>
      </c>
    </row>
    <row r="11" spans="1:9">
      <c r="A11" s="10" t="s">
        <v>398</v>
      </c>
      <c r="B11">
        <v>3155</v>
      </c>
    </row>
    <row r="12" spans="1:9">
      <c r="A12" s="10" t="s">
        <v>410</v>
      </c>
      <c r="B12">
        <v>3151</v>
      </c>
    </row>
    <row r="13" spans="1:9">
      <c r="A13" s="10" t="s">
        <v>403</v>
      </c>
      <c r="B13">
        <v>3072</v>
      </c>
    </row>
    <row r="14" spans="1:9">
      <c r="A14" s="10" t="s">
        <v>444</v>
      </c>
      <c r="B14">
        <v>2909</v>
      </c>
    </row>
    <row r="15" spans="1:9">
      <c r="A15" s="10" t="s">
        <v>416</v>
      </c>
      <c r="B15">
        <v>2794</v>
      </c>
    </row>
    <row r="16" spans="1:9">
      <c r="A16" s="10" t="s">
        <v>413</v>
      </c>
      <c r="B16">
        <v>2792</v>
      </c>
    </row>
    <row r="17" spans="1:2">
      <c r="A17" s="10" t="s">
        <v>409</v>
      </c>
      <c r="B17">
        <v>2785</v>
      </c>
    </row>
    <row r="18" spans="1:2">
      <c r="A18" s="10" t="s">
        <v>436</v>
      </c>
      <c r="B18">
        <v>2781</v>
      </c>
    </row>
    <row r="19" spans="1:2">
      <c r="A19" s="10" t="s">
        <v>394</v>
      </c>
      <c r="B19">
        <v>2777</v>
      </c>
    </row>
    <row r="20" spans="1:2">
      <c r="A20" s="10" t="s">
        <v>432</v>
      </c>
      <c r="B20">
        <v>2763</v>
      </c>
    </row>
    <row r="21" spans="1:2">
      <c r="A21" s="10" t="s">
        <v>452</v>
      </c>
      <c r="B21">
        <v>2694</v>
      </c>
    </row>
    <row r="22" spans="1:2">
      <c r="A22" s="10" t="s">
        <v>402</v>
      </c>
      <c r="B22">
        <v>2693</v>
      </c>
    </row>
    <row r="23" spans="1:2">
      <c r="A23" s="10" t="s">
        <v>421</v>
      </c>
      <c r="B23">
        <v>2693</v>
      </c>
    </row>
    <row r="24" spans="1:2">
      <c r="A24" s="10" t="s">
        <v>435</v>
      </c>
      <c r="B24">
        <v>2679</v>
      </c>
    </row>
    <row r="25" spans="1:2">
      <c r="A25" s="10" t="s">
        <v>412</v>
      </c>
      <c r="B25">
        <v>2670</v>
      </c>
    </row>
    <row r="26" spans="1:2">
      <c r="A26" s="10" t="s">
        <v>450</v>
      </c>
      <c r="B26">
        <v>2669</v>
      </c>
    </row>
    <row r="27" spans="1:2">
      <c r="A27" s="10" t="s">
        <v>451</v>
      </c>
      <c r="B27">
        <v>2654</v>
      </c>
    </row>
    <row r="28" spans="1:2">
      <c r="A28" s="10" t="s">
        <v>457</v>
      </c>
      <c r="B28">
        <v>2646</v>
      </c>
    </row>
    <row r="29" spans="1:2">
      <c r="A29" s="10" t="s">
        <v>407</v>
      </c>
      <c r="B29">
        <v>2630</v>
      </c>
    </row>
    <row r="30" spans="1:2">
      <c r="A30" s="10" t="s">
        <v>422</v>
      </c>
      <c r="B30">
        <v>2550</v>
      </c>
    </row>
    <row r="31" spans="1:2">
      <c r="A31" s="10" t="s">
        <v>406</v>
      </c>
      <c r="B31">
        <v>2502</v>
      </c>
    </row>
    <row r="32" spans="1:2">
      <c r="A32" s="10" t="s">
        <v>424</v>
      </c>
      <c r="B32">
        <v>2451</v>
      </c>
    </row>
    <row r="33" spans="1:2">
      <c r="A33" s="10" t="s">
        <v>405</v>
      </c>
      <c r="B33">
        <v>2450</v>
      </c>
    </row>
    <row r="34" spans="1:2">
      <c r="A34" s="10" t="s">
        <v>396</v>
      </c>
      <c r="B34">
        <v>2433</v>
      </c>
    </row>
    <row r="35" spans="1:2">
      <c r="A35" s="10" t="s">
        <v>397</v>
      </c>
      <c r="B35">
        <v>2426</v>
      </c>
    </row>
    <row r="36" spans="1:2">
      <c r="A36" s="10" t="s">
        <v>419</v>
      </c>
      <c r="B36">
        <v>2383</v>
      </c>
    </row>
    <row r="37" spans="1:2">
      <c r="A37" s="10" t="s">
        <v>440</v>
      </c>
      <c r="B37">
        <v>2378</v>
      </c>
    </row>
    <row r="38" spans="1:2">
      <c r="A38" s="10" t="s">
        <v>399</v>
      </c>
      <c r="B38">
        <v>2369</v>
      </c>
    </row>
    <row r="39" spans="1:2">
      <c r="A39" s="10" t="s">
        <v>429</v>
      </c>
      <c r="B39">
        <v>2361</v>
      </c>
    </row>
    <row r="40" spans="1:2">
      <c r="A40" s="10" t="s">
        <v>455</v>
      </c>
      <c r="B40">
        <v>2347</v>
      </c>
    </row>
    <row r="41" spans="1:2">
      <c r="A41" s="10" t="s">
        <v>425</v>
      </c>
      <c r="B41">
        <v>2341</v>
      </c>
    </row>
    <row r="42" spans="1:2">
      <c r="A42" s="10" t="s">
        <v>411</v>
      </c>
      <c r="B42">
        <v>2338</v>
      </c>
    </row>
    <row r="43" spans="1:2">
      <c r="A43" s="10" t="s">
        <v>423</v>
      </c>
      <c r="B43">
        <v>2337</v>
      </c>
    </row>
    <row r="44" spans="1:2">
      <c r="A44" s="10" t="s">
        <v>433</v>
      </c>
      <c r="B44">
        <v>2315</v>
      </c>
    </row>
    <row r="45" spans="1:2">
      <c r="A45" s="10" t="s">
        <v>449</v>
      </c>
      <c r="B45">
        <v>2315</v>
      </c>
    </row>
    <row r="46" spans="1:2">
      <c r="A46" s="10" t="s">
        <v>404</v>
      </c>
      <c r="B46">
        <v>2300</v>
      </c>
    </row>
    <row r="47" spans="1:2">
      <c r="A47" s="10" t="s">
        <v>418</v>
      </c>
      <c r="B47">
        <v>2287</v>
      </c>
    </row>
    <row r="48" spans="1:2">
      <c r="A48" s="10" t="s">
        <v>400</v>
      </c>
      <c r="B48">
        <v>2281</v>
      </c>
    </row>
    <row r="49" spans="1:2">
      <c r="A49" s="10" t="s">
        <v>446</v>
      </c>
      <c r="B49">
        <v>2243</v>
      </c>
    </row>
    <row r="50" spans="1:2">
      <c r="A50" s="10" t="s">
        <v>434</v>
      </c>
      <c r="B50">
        <v>2188</v>
      </c>
    </row>
    <row r="51" spans="1:2">
      <c r="A51" s="10" t="s">
        <v>414</v>
      </c>
      <c r="B51">
        <v>2181</v>
      </c>
    </row>
    <row r="52" spans="1:2">
      <c r="A52" s="10" t="s">
        <v>408</v>
      </c>
      <c r="B52">
        <v>2162</v>
      </c>
    </row>
    <row r="53" spans="1:2">
      <c r="A53" s="10" t="s">
        <v>401</v>
      </c>
      <c r="B53">
        <v>2132</v>
      </c>
    </row>
    <row r="54" spans="1:2">
      <c r="A54" s="10" t="s">
        <v>441</v>
      </c>
      <c r="B54">
        <v>2054</v>
      </c>
    </row>
    <row r="55" spans="1:2">
      <c r="A55" s="10" t="s">
        <v>445</v>
      </c>
      <c r="B55">
        <v>2049</v>
      </c>
    </row>
    <row r="56" spans="1:2">
      <c r="A56" s="10" t="s">
        <v>447</v>
      </c>
      <c r="B56">
        <v>2017</v>
      </c>
    </row>
    <row r="57" spans="1:2">
      <c r="A57" s="10" t="s">
        <v>417</v>
      </c>
      <c r="B57">
        <v>1935</v>
      </c>
    </row>
    <row r="58" spans="1:2">
      <c r="A58" s="10" t="s">
        <v>427</v>
      </c>
      <c r="B58">
        <v>1928</v>
      </c>
    </row>
    <row r="59" spans="1:2">
      <c r="A59" s="10" t="s">
        <v>426</v>
      </c>
      <c r="B59">
        <v>1832</v>
      </c>
    </row>
    <row r="60" spans="1:2">
      <c r="A60" s="10" t="s">
        <v>456</v>
      </c>
      <c r="B60">
        <v>1819</v>
      </c>
    </row>
    <row r="61" spans="1:2">
      <c r="A61" s="10" t="s">
        <v>439</v>
      </c>
      <c r="B61">
        <v>1728</v>
      </c>
    </row>
    <row r="62" spans="1:2">
      <c r="A62" s="10" t="s">
        <v>431</v>
      </c>
      <c r="B62">
        <v>1713</v>
      </c>
    </row>
    <row r="63" spans="1:2">
      <c r="A63" s="10" t="s">
        <v>454</v>
      </c>
      <c r="B63">
        <v>1689</v>
      </c>
    </row>
    <row r="64" spans="1:2">
      <c r="A64" s="10" t="s">
        <v>428</v>
      </c>
      <c r="B64">
        <v>1680</v>
      </c>
    </row>
    <row r="65" spans="1:2">
      <c r="A65" s="10" t="s">
        <v>430</v>
      </c>
      <c r="B65">
        <v>1543</v>
      </c>
    </row>
    <row r="66" spans="1:2">
      <c r="A66" s="10" t="s">
        <v>459</v>
      </c>
      <c r="B66">
        <v>1436</v>
      </c>
    </row>
    <row r="67" spans="1:2">
      <c r="A67" s="10" t="s">
        <v>458</v>
      </c>
      <c r="B67">
        <v>1424</v>
      </c>
    </row>
    <row r="68" spans="1:2">
      <c r="A68" s="10" t="s">
        <v>442</v>
      </c>
      <c r="B68">
        <v>1400</v>
      </c>
    </row>
    <row r="69" spans="1:2">
      <c r="A69" s="10" t="s">
        <v>420</v>
      </c>
      <c r="B69">
        <v>1398</v>
      </c>
    </row>
    <row r="70" spans="1:2">
      <c r="A70" s="10" t="s">
        <v>448</v>
      </c>
      <c r="B70">
        <v>1384</v>
      </c>
    </row>
    <row r="71" spans="1:2">
      <c r="A71" s="10" t="s">
        <v>391</v>
      </c>
    </row>
    <row r="72" spans="1:2">
      <c r="A72" s="10" t="s">
        <v>380</v>
      </c>
      <c r="B72">
        <v>161588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8029A-845E-426F-83B2-246501B7F987}">
  <dimension ref="A1:G201"/>
  <sheetViews>
    <sheetView zoomScale="70" zoomScaleNormal="70" workbookViewId="0">
      <selection activeCell="G1" sqref="G1"/>
    </sheetView>
  </sheetViews>
  <sheetFormatPr defaultRowHeight="14.4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6" width="11.6640625" customWidth="1"/>
    <col min="7" max="7" width="16.44140625" bestFit="1" customWidth="1"/>
    <col min="8" max="10" width="16.44140625" customWidth="1"/>
    <col min="11" max="11" width="18.6640625" bestFit="1" customWidth="1"/>
    <col min="12" max="12" width="11.88671875" bestFit="1" customWidth="1"/>
  </cols>
  <sheetData>
    <row r="1" spans="1:7">
      <c r="A1" t="s">
        <v>341</v>
      </c>
      <c r="B1" t="s">
        <v>1</v>
      </c>
      <c r="C1" t="s">
        <v>342</v>
      </c>
      <c r="D1" t="s">
        <v>343</v>
      </c>
      <c r="E1" t="s">
        <v>344</v>
      </c>
      <c r="F1" s="20" t="s">
        <v>474</v>
      </c>
      <c r="G1" s="20" t="s">
        <v>469</v>
      </c>
    </row>
    <row r="2" spans="1:7">
      <c r="A2" s="7">
        <v>45446</v>
      </c>
      <c r="B2" t="s">
        <v>14</v>
      </c>
      <c r="C2">
        <v>1402</v>
      </c>
      <c r="D2">
        <v>68</v>
      </c>
      <c r="E2">
        <v>124562</v>
      </c>
      <c r="G2">
        <f>task_2_unsplit_dataset[[#This Row],[Likes]]+task_2_unsplit_dataset[[#This Row],[Comments]]+task_2_unsplit_dataset[[#This Row],[Shares]]</f>
        <v>2537</v>
      </c>
    </row>
    <row r="3" spans="1:7" hidden="1">
      <c r="A3" s="7">
        <v>45446</v>
      </c>
      <c r="B3" t="s">
        <v>24</v>
      </c>
      <c r="C3">
        <v>995</v>
      </c>
      <c r="D3">
        <v>86</v>
      </c>
      <c r="E3">
        <v>227958</v>
      </c>
      <c r="G3">
        <f>task_2_unsplit_dataset[[#This Row],[Likes]]+task_2_unsplit_dataset[[#This Row],[Comments]]+task_2_unsplit_dataset[[#This Row],[Shares]]</f>
        <v>3208</v>
      </c>
    </row>
    <row r="4" spans="1:7">
      <c r="A4" s="7">
        <v>45446</v>
      </c>
      <c r="B4" t="s">
        <v>31</v>
      </c>
      <c r="C4">
        <v>1472</v>
      </c>
      <c r="D4">
        <v>296</v>
      </c>
      <c r="E4">
        <v>370242</v>
      </c>
      <c r="G4">
        <f>task_2_unsplit_dataset[[#This Row],[Likes]]+task_2_unsplit_dataset[[#This Row],[Comments]]+task_2_unsplit_dataset[[#This Row],[Shares]]</f>
        <v>4396</v>
      </c>
    </row>
    <row r="5" spans="1:7" hidden="1">
      <c r="A5" s="7">
        <v>45453</v>
      </c>
      <c r="B5" t="s">
        <v>14</v>
      </c>
      <c r="C5">
        <v>1018</v>
      </c>
      <c r="D5">
        <v>90</v>
      </c>
      <c r="E5">
        <v>92474</v>
      </c>
      <c r="F5" s="20">
        <f>AVERAGE(E2:E5)</f>
        <v>203809</v>
      </c>
      <c r="G5">
        <f>task_2_unsplit_dataset[[#This Row],[Likes]]+task_2_unsplit_dataset[[#This Row],[Comments]]+task_2_unsplit_dataset[[#This Row],[Shares]]</f>
        <v>2647</v>
      </c>
    </row>
    <row r="6" spans="1:7">
      <c r="A6" s="7">
        <v>45453</v>
      </c>
      <c r="B6" t="s">
        <v>24</v>
      </c>
      <c r="C6">
        <v>1461</v>
      </c>
      <c r="D6">
        <v>64</v>
      </c>
      <c r="E6">
        <v>328902</v>
      </c>
      <c r="F6" s="20">
        <f t="shared" ref="F6:F69" si="0">AVERAGE(E3:E6)</f>
        <v>254894</v>
      </c>
      <c r="G6">
        <f>task_2_unsplit_dataset[[#This Row],[Likes]]+task_2_unsplit_dataset[[#This Row],[Comments]]+task_2_unsplit_dataset[[#This Row],[Shares]]</f>
        <v>4472</v>
      </c>
    </row>
    <row r="7" spans="1:7" hidden="1">
      <c r="A7" s="7">
        <v>45453</v>
      </c>
      <c r="B7" t="s">
        <v>31</v>
      </c>
      <c r="C7">
        <v>545</v>
      </c>
      <c r="D7">
        <v>93</v>
      </c>
      <c r="E7">
        <v>391621</v>
      </c>
      <c r="F7" s="20">
        <f t="shared" si="0"/>
        <v>295809.75</v>
      </c>
      <c r="G7">
        <f>task_2_unsplit_dataset[[#This Row],[Likes]]+task_2_unsplit_dataset[[#This Row],[Comments]]+task_2_unsplit_dataset[[#This Row],[Shares]]</f>
        <v>3166</v>
      </c>
    </row>
    <row r="8" spans="1:7" hidden="1">
      <c r="A8" s="7">
        <v>45460</v>
      </c>
      <c r="B8" t="s">
        <v>14</v>
      </c>
      <c r="C8">
        <v>881</v>
      </c>
      <c r="D8">
        <v>291</v>
      </c>
      <c r="E8">
        <v>95885</v>
      </c>
      <c r="F8" s="20">
        <f t="shared" si="0"/>
        <v>227220.5</v>
      </c>
      <c r="G8">
        <f>task_2_unsplit_dataset[[#This Row],[Likes]]+task_2_unsplit_dataset[[#This Row],[Comments]]+task_2_unsplit_dataset[[#This Row],[Shares]]</f>
        <v>2739</v>
      </c>
    </row>
    <row r="9" spans="1:7">
      <c r="A9" s="7">
        <v>45460</v>
      </c>
      <c r="B9" t="s">
        <v>24</v>
      </c>
      <c r="C9">
        <v>1414</v>
      </c>
      <c r="D9">
        <v>131</v>
      </c>
      <c r="E9">
        <v>245947</v>
      </c>
      <c r="F9" s="20">
        <f t="shared" si="0"/>
        <v>265588.75</v>
      </c>
      <c r="G9">
        <f>task_2_unsplit_dataset[[#This Row],[Likes]]+task_2_unsplit_dataset[[#This Row],[Comments]]+task_2_unsplit_dataset[[#This Row],[Shares]]</f>
        <v>2051</v>
      </c>
    </row>
    <row r="10" spans="1:7">
      <c r="A10" s="7">
        <v>45460</v>
      </c>
      <c r="B10" t="s">
        <v>31</v>
      </c>
      <c r="C10">
        <v>1472</v>
      </c>
      <c r="D10">
        <v>170</v>
      </c>
      <c r="E10">
        <v>250428</v>
      </c>
      <c r="F10" s="20">
        <f t="shared" si="0"/>
        <v>245970.25</v>
      </c>
      <c r="G10">
        <f>task_2_unsplit_dataset[[#This Row],[Likes]]+task_2_unsplit_dataset[[#This Row],[Comments]]+task_2_unsplit_dataset[[#This Row],[Shares]]</f>
        <v>2059</v>
      </c>
    </row>
    <row r="11" spans="1:7" hidden="1">
      <c r="A11" s="7">
        <v>45467</v>
      </c>
      <c r="B11" t="s">
        <v>14</v>
      </c>
      <c r="C11">
        <v>809</v>
      </c>
      <c r="D11">
        <v>197</v>
      </c>
      <c r="E11">
        <v>87186</v>
      </c>
      <c r="F11" s="20">
        <f t="shared" si="0"/>
        <v>169861.5</v>
      </c>
      <c r="G11">
        <f>task_2_unsplit_dataset[[#This Row],[Likes]]+task_2_unsplit_dataset[[#This Row],[Comments]]+task_2_unsplit_dataset[[#This Row],[Shares]]</f>
        <v>4198</v>
      </c>
    </row>
    <row r="12" spans="1:7" hidden="1">
      <c r="A12" s="7">
        <v>45467</v>
      </c>
      <c r="B12" t="s">
        <v>24</v>
      </c>
      <c r="C12">
        <v>1371</v>
      </c>
      <c r="D12">
        <v>250</v>
      </c>
      <c r="E12">
        <v>128620</v>
      </c>
      <c r="F12" s="20">
        <f t="shared" si="0"/>
        <v>178045.25</v>
      </c>
      <c r="G12">
        <f>task_2_unsplit_dataset[[#This Row],[Likes]]+task_2_unsplit_dataset[[#This Row],[Comments]]+task_2_unsplit_dataset[[#This Row],[Shares]]</f>
        <v>3503</v>
      </c>
    </row>
    <row r="13" spans="1:7" hidden="1">
      <c r="A13" s="7">
        <v>45467</v>
      </c>
      <c r="B13" t="s">
        <v>31</v>
      </c>
      <c r="C13">
        <v>844</v>
      </c>
      <c r="D13">
        <v>144</v>
      </c>
      <c r="E13">
        <v>126015</v>
      </c>
      <c r="F13" s="20">
        <f t="shared" si="0"/>
        <v>148062.25</v>
      </c>
      <c r="G13">
        <f>task_2_unsplit_dataset[[#This Row],[Likes]]+task_2_unsplit_dataset[[#This Row],[Comments]]+task_2_unsplit_dataset[[#This Row],[Shares]]</f>
        <v>5523</v>
      </c>
    </row>
    <row r="14" spans="1:7" hidden="1">
      <c r="A14" s="7">
        <v>45474</v>
      </c>
      <c r="B14" t="s">
        <v>14</v>
      </c>
      <c r="C14">
        <v>786</v>
      </c>
      <c r="D14">
        <v>72</v>
      </c>
      <c r="E14">
        <v>178615</v>
      </c>
      <c r="F14" s="20">
        <f t="shared" si="0"/>
        <v>130109</v>
      </c>
      <c r="G14">
        <f>task_2_unsplit_dataset[[#This Row],[Likes]]+task_2_unsplit_dataset[[#This Row],[Comments]]+task_2_unsplit_dataset[[#This Row],[Shares]]</f>
        <v>3311</v>
      </c>
    </row>
    <row r="15" spans="1:7" hidden="1">
      <c r="A15" s="7">
        <v>45474</v>
      </c>
      <c r="B15" t="s">
        <v>24</v>
      </c>
      <c r="C15">
        <v>845</v>
      </c>
      <c r="D15">
        <v>250</v>
      </c>
      <c r="E15">
        <v>218228</v>
      </c>
      <c r="F15" s="20">
        <f t="shared" si="0"/>
        <v>162869.5</v>
      </c>
      <c r="G15">
        <f>task_2_unsplit_dataset[[#This Row],[Likes]]+task_2_unsplit_dataset[[#This Row],[Comments]]+task_2_unsplit_dataset[[#This Row],[Shares]]</f>
        <v>3460</v>
      </c>
    </row>
    <row r="16" spans="1:7" hidden="1">
      <c r="A16" s="7">
        <v>45474</v>
      </c>
      <c r="B16" t="s">
        <v>31</v>
      </c>
      <c r="C16">
        <v>1218</v>
      </c>
      <c r="D16">
        <v>101</v>
      </c>
      <c r="E16">
        <v>300397</v>
      </c>
      <c r="F16" s="20">
        <f t="shared" si="0"/>
        <v>205813.75</v>
      </c>
      <c r="G16">
        <f>task_2_unsplit_dataset[[#This Row],[Likes]]+task_2_unsplit_dataset[[#This Row],[Comments]]+task_2_unsplit_dataset[[#This Row],[Shares]]</f>
        <v>1341</v>
      </c>
    </row>
    <row r="17" spans="1:7" hidden="1">
      <c r="A17" s="7">
        <v>45481</v>
      </c>
      <c r="B17" t="s">
        <v>14</v>
      </c>
      <c r="C17">
        <v>797</v>
      </c>
      <c r="D17">
        <v>130</v>
      </c>
      <c r="E17">
        <v>340121</v>
      </c>
      <c r="F17" s="20">
        <f t="shared" si="0"/>
        <v>259340.25</v>
      </c>
      <c r="G17">
        <f>task_2_unsplit_dataset[[#This Row],[Likes]]+task_2_unsplit_dataset[[#This Row],[Comments]]+task_2_unsplit_dataset[[#This Row],[Shares]]</f>
        <v>5062</v>
      </c>
    </row>
    <row r="18" spans="1:7">
      <c r="A18" s="7">
        <v>45481</v>
      </c>
      <c r="B18" t="s">
        <v>24</v>
      </c>
      <c r="C18">
        <v>1471</v>
      </c>
      <c r="D18">
        <v>100</v>
      </c>
      <c r="E18">
        <v>76866</v>
      </c>
      <c r="F18" s="20">
        <f t="shared" si="0"/>
        <v>233903</v>
      </c>
      <c r="G18">
        <f>task_2_unsplit_dataset[[#This Row],[Likes]]+task_2_unsplit_dataset[[#This Row],[Comments]]+task_2_unsplit_dataset[[#This Row],[Shares]]</f>
        <v>1356</v>
      </c>
    </row>
    <row r="19" spans="1:7" hidden="1">
      <c r="A19" s="7">
        <v>45481</v>
      </c>
      <c r="B19" t="s">
        <v>31</v>
      </c>
      <c r="C19">
        <v>1253</v>
      </c>
      <c r="D19">
        <v>136</v>
      </c>
      <c r="E19">
        <v>193131</v>
      </c>
      <c r="F19" s="20">
        <f t="shared" si="0"/>
        <v>227628.75</v>
      </c>
      <c r="G19">
        <f>task_2_unsplit_dataset[[#This Row],[Likes]]+task_2_unsplit_dataset[[#This Row],[Comments]]+task_2_unsplit_dataset[[#This Row],[Shares]]</f>
        <v>1925</v>
      </c>
    </row>
    <row r="20" spans="1:7" hidden="1">
      <c r="A20" s="7">
        <v>45488</v>
      </c>
      <c r="B20" t="s">
        <v>14</v>
      </c>
      <c r="C20">
        <v>616</v>
      </c>
      <c r="D20">
        <v>257</v>
      </c>
      <c r="E20">
        <v>169665</v>
      </c>
      <c r="F20" s="20">
        <f t="shared" si="0"/>
        <v>194945.75</v>
      </c>
      <c r="G20">
        <f>task_2_unsplit_dataset[[#This Row],[Likes]]+task_2_unsplit_dataset[[#This Row],[Comments]]+task_2_unsplit_dataset[[#This Row],[Shares]]</f>
        <v>3811</v>
      </c>
    </row>
    <row r="21" spans="1:7" hidden="1">
      <c r="A21" s="7">
        <v>45488</v>
      </c>
      <c r="B21" t="s">
        <v>24</v>
      </c>
      <c r="C21">
        <v>1308</v>
      </c>
      <c r="D21">
        <v>210</v>
      </c>
      <c r="E21">
        <v>263729</v>
      </c>
      <c r="F21" s="20">
        <f t="shared" si="0"/>
        <v>175847.75</v>
      </c>
      <c r="G21">
        <f>task_2_unsplit_dataset[[#This Row],[Likes]]+task_2_unsplit_dataset[[#This Row],[Comments]]+task_2_unsplit_dataset[[#This Row],[Shares]]</f>
        <v>4648</v>
      </c>
    </row>
    <row r="22" spans="1:7" hidden="1">
      <c r="A22" s="7">
        <v>45488</v>
      </c>
      <c r="B22" t="s">
        <v>31</v>
      </c>
      <c r="C22">
        <v>981</v>
      </c>
      <c r="D22">
        <v>69</v>
      </c>
      <c r="E22">
        <v>206921</v>
      </c>
      <c r="F22" s="20">
        <f t="shared" si="0"/>
        <v>208361.5</v>
      </c>
      <c r="G22">
        <f>task_2_unsplit_dataset[[#This Row],[Likes]]+task_2_unsplit_dataset[[#This Row],[Comments]]+task_2_unsplit_dataset[[#This Row],[Shares]]</f>
        <v>1661</v>
      </c>
    </row>
    <row r="23" spans="1:7" hidden="1">
      <c r="A23" s="7">
        <v>45495</v>
      </c>
      <c r="B23" t="s">
        <v>14</v>
      </c>
      <c r="C23">
        <v>866</v>
      </c>
      <c r="D23">
        <v>74</v>
      </c>
      <c r="E23">
        <v>204121</v>
      </c>
      <c r="F23" s="20">
        <f t="shared" si="0"/>
        <v>211109</v>
      </c>
      <c r="G23">
        <f>task_2_unsplit_dataset[[#This Row],[Likes]]+task_2_unsplit_dataset[[#This Row],[Comments]]+task_2_unsplit_dataset[[#This Row],[Shares]]</f>
        <v>2943</v>
      </c>
    </row>
    <row r="24" spans="1:7" hidden="1">
      <c r="A24" s="7">
        <v>45495</v>
      </c>
      <c r="B24" t="s">
        <v>24</v>
      </c>
      <c r="C24">
        <v>547</v>
      </c>
      <c r="D24">
        <v>183</v>
      </c>
      <c r="E24">
        <v>266350</v>
      </c>
      <c r="F24" s="20">
        <f t="shared" si="0"/>
        <v>235280.25</v>
      </c>
      <c r="G24">
        <f>task_2_unsplit_dataset[[#This Row],[Likes]]+task_2_unsplit_dataset[[#This Row],[Comments]]+task_2_unsplit_dataset[[#This Row],[Shares]]</f>
        <v>4996</v>
      </c>
    </row>
    <row r="25" spans="1:7" hidden="1">
      <c r="A25" s="7">
        <v>45495</v>
      </c>
      <c r="B25" t="s">
        <v>31</v>
      </c>
      <c r="C25">
        <v>1241</v>
      </c>
      <c r="D25">
        <v>116</v>
      </c>
      <c r="E25">
        <v>380606</v>
      </c>
      <c r="F25" s="20">
        <f t="shared" si="0"/>
        <v>264499.5</v>
      </c>
      <c r="G25">
        <f>task_2_unsplit_dataset[[#This Row],[Likes]]+task_2_unsplit_dataset[[#This Row],[Comments]]+task_2_unsplit_dataset[[#This Row],[Shares]]</f>
        <v>2589</v>
      </c>
    </row>
    <row r="26" spans="1:7" hidden="1">
      <c r="A26" s="7">
        <v>45502</v>
      </c>
      <c r="B26" t="s">
        <v>14</v>
      </c>
      <c r="C26">
        <v>973</v>
      </c>
      <c r="D26">
        <v>104</v>
      </c>
      <c r="E26">
        <v>376358</v>
      </c>
      <c r="F26" s="20">
        <f t="shared" si="0"/>
        <v>306858.75</v>
      </c>
      <c r="G26">
        <f>task_2_unsplit_dataset[[#This Row],[Likes]]+task_2_unsplit_dataset[[#This Row],[Comments]]+task_2_unsplit_dataset[[#This Row],[Shares]]</f>
        <v>1622</v>
      </c>
    </row>
    <row r="27" spans="1:7" hidden="1">
      <c r="A27" s="7">
        <v>45502</v>
      </c>
      <c r="B27" t="s">
        <v>24</v>
      </c>
      <c r="C27">
        <v>611</v>
      </c>
      <c r="D27">
        <v>197</v>
      </c>
      <c r="E27">
        <v>79423</v>
      </c>
      <c r="F27" s="20">
        <f t="shared" si="0"/>
        <v>275684.25</v>
      </c>
      <c r="G27">
        <f>task_2_unsplit_dataset[[#This Row],[Likes]]+task_2_unsplit_dataset[[#This Row],[Comments]]+task_2_unsplit_dataset[[#This Row],[Shares]]</f>
        <v>1641</v>
      </c>
    </row>
    <row r="28" spans="1:7" hidden="1">
      <c r="A28" s="7">
        <v>45502</v>
      </c>
      <c r="B28" t="s">
        <v>31</v>
      </c>
      <c r="C28">
        <v>983</v>
      </c>
      <c r="D28">
        <v>134</v>
      </c>
      <c r="E28">
        <v>352178</v>
      </c>
      <c r="F28" s="20">
        <f t="shared" si="0"/>
        <v>297141.25</v>
      </c>
      <c r="G28">
        <f>task_2_unsplit_dataset[[#This Row],[Likes]]+task_2_unsplit_dataset[[#This Row],[Comments]]+task_2_unsplit_dataset[[#This Row],[Shares]]</f>
        <v>4406</v>
      </c>
    </row>
    <row r="29" spans="1:7">
      <c r="A29" s="7">
        <v>45509</v>
      </c>
      <c r="B29" t="s">
        <v>14</v>
      </c>
      <c r="C29">
        <v>1449</v>
      </c>
      <c r="D29">
        <v>96</v>
      </c>
      <c r="E29">
        <v>200636</v>
      </c>
      <c r="F29" s="20">
        <f t="shared" si="0"/>
        <v>252148.75</v>
      </c>
      <c r="G29">
        <f>task_2_unsplit_dataset[[#This Row],[Likes]]+task_2_unsplit_dataset[[#This Row],[Comments]]+task_2_unsplit_dataset[[#This Row],[Shares]]</f>
        <v>3637</v>
      </c>
    </row>
    <row r="30" spans="1:7" hidden="1">
      <c r="A30" s="7">
        <v>45509</v>
      </c>
      <c r="B30" t="s">
        <v>24</v>
      </c>
      <c r="C30">
        <v>752</v>
      </c>
      <c r="D30">
        <v>170</v>
      </c>
      <c r="E30">
        <v>132756</v>
      </c>
      <c r="F30" s="20">
        <f t="shared" si="0"/>
        <v>191248.25</v>
      </c>
      <c r="G30">
        <f>task_2_unsplit_dataset[[#This Row],[Likes]]+task_2_unsplit_dataset[[#This Row],[Comments]]+task_2_unsplit_dataset[[#This Row],[Shares]]</f>
        <v>4577</v>
      </c>
    </row>
    <row r="31" spans="1:7" hidden="1">
      <c r="A31" s="7">
        <v>45509</v>
      </c>
      <c r="B31" t="s">
        <v>31</v>
      </c>
      <c r="C31">
        <v>937</v>
      </c>
      <c r="D31">
        <v>179</v>
      </c>
      <c r="E31">
        <v>318098</v>
      </c>
      <c r="F31" s="20">
        <f t="shared" si="0"/>
        <v>250917</v>
      </c>
      <c r="G31">
        <f>task_2_unsplit_dataset[[#This Row],[Likes]]+task_2_unsplit_dataset[[#This Row],[Comments]]+task_2_unsplit_dataset[[#This Row],[Shares]]</f>
        <v>4072</v>
      </c>
    </row>
    <row r="32" spans="1:7" hidden="1">
      <c r="A32" s="7">
        <v>45516</v>
      </c>
      <c r="B32" t="s">
        <v>14</v>
      </c>
      <c r="C32">
        <v>1060</v>
      </c>
      <c r="D32">
        <v>83</v>
      </c>
      <c r="E32">
        <v>68724</v>
      </c>
      <c r="F32" s="20">
        <f t="shared" si="0"/>
        <v>180053.5</v>
      </c>
      <c r="G32">
        <f>task_2_unsplit_dataset[[#This Row],[Likes]]+task_2_unsplit_dataset[[#This Row],[Comments]]+task_2_unsplit_dataset[[#This Row],[Shares]]</f>
        <v>4997</v>
      </c>
    </row>
    <row r="33" spans="1:7">
      <c r="A33" s="7">
        <v>45516</v>
      </c>
      <c r="B33" t="s">
        <v>24</v>
      </c>
      <c r="C33">
        <v>1456</v>
      </c>
      <c r="D33">
        <v>265</v>
      </c>
      <c r="E33">
        <v>115505</v>
      </c>
      <c r="F33" s="20">
        <f t="shared" si="0"/>
        <v>158770.75</v>
      </c>
      <c r="G33">
        <f>task_2_unsplit_dataset[[#This Row],[Likes]]+task_2_unsplit_dataset[[#This Row],[Comments]]+task_2_unsplit_dataset[[#This Row],[Shares]]</f>
        <v>2532</v>
      </c>
    </row>
    <row r="34" spans="1:7" hidden="1">
      <c r="A34" s="7">
        <v>45516</v>
      </c>
      <c r="B34" t="s">
        <v>31</v>
      </c>
      <c r="C34">
        <v>1109</v>
      </c>
      <c r="D34">
        <v>205</v>
      </c>
      <c r="E34">
        <v>276722</v>
      </c>
      <c r="F34" s="20">
        <f t="shared" si="0"/>
        <v>194762.25</v>
      </c>
      <c r="G34">
        <f>task_2_unsplit_dataset[[#This Row],[Likes]]+task_2_unsplit_dataset[[#This Row],[Comments]]+task_2_unsplit_dataset[[#This Row],[Shares]]</f>
        <v>3472</v>
      </c>
    </row>
    <row r="35" spans="1:7" hidden="1">
      <c r="A35" s="7">
        <v>45523</v>
      </c>
      <c r="B35" t="s">
        <v>14</v>
      </c>
      <c r="C35">
        <v>1002</v>
      </c>
      <c r="D35">
        <v>93</v>
      </c>
      <c r="E35">
        <v>353538</v>
      </c>
      <c r="F35" s="20">
        <f t="shared" si="0"/>
        <v>203622.25</v>
      </c>
      <c r="G35">
        <f>task_2_unsplit_dataset[[#This Row],[Likes]]+task_2_unsplit_dataset[[#This Row],[Comments]]+task_2_unsplit_dataset[[#This Row],[Shares]]</f>
        <v>1858</v>
      </c>
    </row>
    <row r="36" spans="1:7" hidden="1">
      <c r="A36" s="7">
        <v>45523</v>
      </c>
      <c r="B36" t="s">
        <v>24</v>
      </c>
      <c r="C36">
        <v>571</v>
      </c>
      <c r="D36">
        <v>189</v>
      </c>
      <c r="E36">
        <v>61445</v>
      </c>
      <c r="F36" s="20">
        <f t="shared" si="0"/>
        <v>201802.5</v>
      </c>
      <c r="G36">
        <f>task_2_unsplit_dataset[[#This Row],[Likes]]+task_2_unsplit_dataset[[#This Row],[Comments]]+task_2_unsplit_dataset[[#This Row],[Shares]]</f>
        <v>1684</v>
      </c>
    </row>
    <row r="37" spans="1:7" hidden="1">
      <c r="A37" s="7">
        <v>45523</v>
      </c>
      <c r="B37" t="s">
        <v>31</v>
      </c>
      <c r="C37">
        <v>1240</v>
      </c>
      <c r="D37">
        <v>231</v>
      </c>
      <c r="E37">
        <v>165035</v>
      </c>
      <c r="F37" s="20">
        <f t="shared" si="0"/>
        <v>214185</v>
      </c>
      <c r="G37">
        <f>task_2_unsplit_dataset[[#This Row],[Likes]]+task_2_unsplit_dataset[[#This Row],[Comments]]+task_2_unsplit_dataset[[#This Row],[Shares]]</f>
        <v>2297</v>
      </c>
    </row>
    <row r="38" spans="1:7" hidden="1">
      <c r="A38" s="7">
        <v>45530</v>
      </c>
      <c r="B38" t="s">
        <v>14</v>
      </c>
      <c r="C38">
        <v>1154</v>
      </c>
      <c r="D38">
        <v>132</v>
      </c>
      <c r="E38">
        <v>194595</v>
      </c>
      <c r="F38" s="20">
        <f t="shared" si="0"/>
        <v>193653.25</v>
      </c>
      <c r="G38">
        <f>task_2_unsplit_dataset[[#This Row],[Likes]]+task_2_unsplit_dataset[[#This Row],[Comments]]+task_2_unsplit_dataset[[#This Row],[Shares]]</f>
        <v>2456</v>
      </c>
    </row>
    <row r="39" spans="1:7" hidden="1">
      <c r="A39" s="7">
        <v>45530</v>
      </c>
      <c r="B39" t="s">
        <v>24</v>
      </c>
      <c r="C39">
        <v>537</v>
      </c>
      <c r="D39">
        <v>275</v>
      </c>
      <c r="E39">
        <v>236238</v>
      </c>
      <c r="F39" s="20">
        <f t="shared" si="0"/>
        <v>164328.25</v>
      </c>
      <c r="G39">
        <f>task_2_unsplit_dataset[[#This Row],[Likes]]+task_2_unsplit_dataset[[#This Row],[Comments]]+task_2_unsplit_dataset[[#This Row],[Shares]]</f>
        <v>4910</v>
      </c>
    </row>
    <row r="40" spans="1:7">
      <c r="A40" s="7">
        <v>45530</v>
      </c>
      <c r="B40" t="s">
        <v>31</v>
      </c>
      <c r="C40">
        <v>1456</v>
      </c>
      <c r="D40">
        <v>290</v>
      </c>
      <c r="E40">
        <v>271044</v>
      </c>
      <c r="F40" s="20">
        <f t="shared" si="0"/>
        <v>216728</v>
      </c>
      <c r="G40">
        <f>task_2_unsplit_dataset[[#This Row],[Likes]]+task_2_unsplit_dataset[[#This Row],[Comments]]+task_2_unsplit_dataset[[#This Row],[Shares]]</f>
        <v>3331</v>
      </c>
    </row>
    <row r="41" spans="1:7" hidden="1">
      <c r="A41" s="7">
        <v>45537</v>
      </c>
      <c r="B41" t="s">
        <v>14</v>
      </c>
      <c r="C41">
        <v>721</v>
      </c>
      <c r="D41">
        <v>206</v>
      </c>
      <c r="E41">
        <v>334887</v>
      </c>
      <c r="F41" s="20">
        <f t="shared" si="0"/>
        <v>259191</v>
      </c>
      <c r="G41">
        <f>task_2_unsplit_dataset[[#This Row],[Likes]]+task_2_unsplit_dataset[[#This Row],[Comments]]+task_2_unsplit_dataset[[#This Row],[Shares]]</f>
        <v>4636</v>
      </c>
    </row>
    <row r="42" spans="1:7" hidden="1">
      <c r="A42" s="7">
        <v>45537</v>
      </c>
      <c r="B42" t="s">
        <v>24</v>
      </c>
      <c r="C42">
        <v>1098</v>
      </c>
      <c r="D42">
        <v>142</v>
      </c>
      <c r="E42">
        <v>359150</v>
      </c>
      <c r="F42" s="20">
        <f t="shared" si="0"/>
        <v>300329.75</v>
      </c>
      <c r="G42">
        <f>task_2_unsplit_dataset[[#This Row],[Likes]]+task_2_unsplit_dataset[[#This Row],[Comments]]+task_2_unsplit_dataset[[#This Row],[Shares]]</f>
        <v>3429</v>
      </c>
    </row>
    <row r="43" spans="1:7" hidden="1">
      <c r="A43" s="7">
        <v>45537</v>
      </c>
      <c r="B43" t="s">
        <v>31</v>
      </c>
      <c r="C43">
        <v>1096</v>
      </c>
      <c r="D43">
        <v>65</v>
      </c>
      <c r="E43">
        <v>358295</v>
      </c>
      <c r="F43" s="20">
        <f t="shared" si="0"/>
        <v>330844</v>
      </c>
      <c r="G43">
        <f>task_2_unsplit_dataset[[#This Row],[Likes]]+task_2_unsplit_dataset[[#This Row],[Comments]]+task_2_unsplit_dataset[[#This Row],[Shares]]</f>
        <v>3091</v>
      </c>
    </row>
    <row r="44" spans="1:7" hidden="1">
      <c r="A44" s="7">
        <v>45544</v>
      </c>
      <c r="B44" t="s">
        <v>14</v>
      </c>
      <c r="C44">
        <v>912</v>
      </c>
      <c r="D44">
        <v>275</v>
      </c>
      <c r="E44">
        <v>368454</v>
      </c>
      <c r="F44" s="20">
        <f t="shared" si="0"/>
        <v>355196.5</v>
      </c>
      <c r="G44">
        <f>task_2_unsplit_dataset[[#This Row],[Likes]]+task_2_unsplit_dataset[[#This Row],[Comments]]+task_2_unsplit_dataset[[#This Row],[Shares]]</f>
        <v>4772</v>
      </c>
    </row>
    <row r="45" spans="1:7">
      <c r="A45" s="7">
        <v>45544</v>
      </c>
      <c r="B45" t="s">
        <v>24</v>
      </c>
      <c r="C45">
        <v>1430</v>
      </c>
      <c r="D45">
        <v>162</v>
      </c>
      <c r="E45">
        <v>269082</v>
      </c>
      <c r="F45" s="20">
        <f t="shared" si="0"/>
        <v>338745.25</v>
      </c>
      <c r="G45">
        <f>task_2_unsplit_dataset[[#This Row],[Likes]]+task_2_unsplit_dataset[[#This Row],[Comments]]+task_2_unsplit_dataset[[#This Row],[Shares]]</f>
        <v>3544</v>
      </c>
    </row>
    <row r="46" spans="1:7" hidden="1">
      <c r="A46" s="7">
        <v>45544</v>
      </c>
      <c r="B46" t="s">
        <v>31</v>
      </c>
      <c r="C46">
        <v>854</v>
      </c>
      <c r="D46">
        <v>129</v>
      </c>
      <c r="E46">
        <v>310903</v>
      </c>
      <c r="F46" s="20">
        <f t="shared" si="0"/>
        <v>326683.5</v>
      </c>
      <c r="G46">
        <f>task_2_unsplit_dataset[[#This Row],[Likes]]+task_2_unsplit_dataset[[#This Row],[Comments]]+task_2_unsplit_dataset[[#This Row],[Shares]]</f>
        <v>4911</v>
      </c>
    </row>
    <row r="47" spans="1:7" hidden="1">
      <c r="A47" s="7">
        <v>45551</v>
      </c>
      <c r="B47" t="s">
        <v>14</v>
      </c>
      <c r="C47">
        <v>681</v>
      </c>
      <c r="D47">
        <v>210</v>
      </c>
      <c r="E47">
        <v>248581</v>
      </c>
      <c r="F47" s="20">
        <f t="shared" si="0"/>
        <v>299255</v>
      </c>
      <c r="G47">
        <f>task_2_unsplit_dataset[[#This Row],[Likes]]+task_2_unsplit_dataset[[#This Row],[Comments]]+task_2_unsplit_dataset[[#This Row],[Shares]]</f>
        <v>4810</v>
      </c>
    </row>
    <row r="48" spans="1:7" hidden="1">
      <c r="A48" s="7">
        <v>45551</v>
      </c>
      <c r="B48" t="s">
        <v>24</v>
      </c>
      <c r="C48">
        <v>1373</v>
      </c>
      <c r="D48">
        <v>82</v>
      </c>
      <c r="E48">
        <v>371015</v>
      </c>
      <c r="F48" s="20">
        <f t="shared" si="0"/>
        <v>299895.25</v>
      </c>
      <c r="G48">
        <f>task_2_unsplit_dataset[[#This Row],[Likes]]+task_2_unsplit_dataset[[#This Row],[Comments]]+task_2_unsplit_dataset[[#This Row],[Shares]]</f>
        <v>4410</v>
      </c>
    </row>
    <row r="49" spans="1:7" hidden="1">
      <c r="A49" s="7">
        <v>45551</v>
      </c>
      <c r="B49" t="s">
        <v>31</v>
      </c>
      <c r="C49">
        <v>685</v>
      </c>
      <c r="D49">
        <v>285</v>
      </c>
      <c r="E49">
        <v>177452</v>
      </c>
      <c r="F49" s="20">
        <f t="shared" si="0"/>
        <v>276987.75</v>
      </c>
      <c r="G49">
        <f>task_2_unsplit_dataset[[#This Row],[Likes]]+task_2_unsplit_dataset[[#This Row],[Comments]]+task_2_unsplit_dataset[[#This Row],[Shares]]</f>
        <v>5018</v>
      </c>
    </row>
    <row r="50" spans="1:7" hidden="1">
      <c r="A50" s="7">
        <v>45558</v>
      </c>
      <c r="B50" t="s">
        <v>14</v>
      </c>
      <c r="C50">
        <v>1290</v>
      </c>
      <c r="D50">
        <v>177</v>
      </c>
      <c r="E50">
        <v>80745</v>
      </c>
      <c r="F50" s="20">
        <f t="shared" si="0"/>
        <v>219448.25</v>
      </c>
      <c r="G50">
        <f>task_2_unsplit_dataset[[#This Row],[Likes]]+task_2_unsplit_dataset[[#This Row],[Comments]]+task_2_unsplit_dataset[[#This Row],[Shares]]</f>
        <v>4407</v>
      </c>
    </row>
    <row r="51" spans="1:7">
      <c r="A51" s="7">
        <v>45558</v>
      </c>
      <c r="B51" t="s">
        <v>24</v>
      </c>
      <c r="C51">
        <v>1437</v>
      </c>
      <c r="D51">
        <v>239</v>
      </c>
      <c r="E51">
        <v>362441</v>
      </c>
      <c r="F51" s="20">
        <f t="shared" si="0"/>
        <v>247913.25</v>
      </c>
      <c r="G51">
        <f>task_2_unsplit_dataset[[#This Row],[Likes]]+task_2_unsplit_dataset[[#This Row],[Comments]]+task_2_unsplit_dataset[[#This Row],[Shares]]</f>
        <v>4348</v>
      </c>
    </row>
    <row r="52" spans="1:7" hidden="1">
      <c r="A52" s="7">
        <v>45558</v>
      </c>
      <c r="B52" t="s">
        <v>31</v>
      </c>
      <c r="C52">
        <v>769</v>
      </c>
      <c r="D52">
        <v>295</v>
      </c>
      <c r="E52">
        <v>344771</v>
      </c>
      <c r="F52" s="20">
        <f t="shared" si="0"/>
        <v>241352.25</v>
      </c>
      <c r="G52">
        <f>task_2_unsplit_dataset[[#This Row],[Likes]]+task_2_unsplit_dataset[[#This Row],[Comments]]+task_2_unsplit_dataset[[#This Row],[Shares]]</f>
        <v>5431</v>
      </c>
    </row>
    <row r="53" spans="1:7">
      <c r="A53" s="7">
        <v>45565</v>
      </c>
      <c r="B53" t="s">
        <v>14</v>
      </c>
      <c r="C53">
        <v>1416</v>
      </c>
      <c r="D53">
        <v>284</v>
      </c>
      <c r="E53">
        <v>374952</v>
      </c>
      <c r="F53" s="20">
        <f t="shared" si="0"/>
        <v>290727.25</v>
      </c>
      <c r="G53">
        <f>task_2_unsplit_dataset[[#This Row],[Likes]]+task_2_unsplit_dataset[[#This Row],[Comments]]+task_2_unsplit_dataset[[#This Row],[Shares]]</f>
        <v>5614</v>
      </c>
    </row>
    <row r="54" spans="1:7" hidden="1">
      <c r="A54" s="7">
        <v>45565</v>
      </c>
      <c r="B54" t="s">
        <v>24</v>
      </c>
      <c r="C54">
        <v>998</v>
      </c>
      <c r="D54">
        <v>154</v>
      </c>
      <c r="E54">
        <v>179781</v>
      </c>
      <c r="F54" s="20">
        <f t="shared" si="0"/>
        <v>315486.25</v>
      </c>
      <c r="G54">
        <f>task_2_unsplit_dataset[[#This Row],[Likes]]+task_2_unsplit_dataset[[#This Row],[Comments]]+task_2_unsplit_dataset[[#This Row],[Shares]]</f>
        <v>2818</v>
      </c>
    </row>
    <row r="55" spans="1:7">
      <c r="A55" s="7">
        <v>45565</v>
      </c>
      <c r="B55" t="s">
        <v>31</v>
      </c>
      <c r="C55">
        <v>1421</v>
      </c>
      <c r="D55">
        <v>246</v>
      </c>
      <c r="E55">
        <v>358581</v>
      </c>
      <c r="F55" s="20">
        <f t="shared" si="0"/>
        <v>314521.25</v>
      </c>
      <c r="G55">
        <f>task_2_unsplit_dataset[[#This Row],[Likes]]+task_2_unsplit_dataset[[#This Row],[Comments]]+task_2_unsplit_dataset[[#This Row],[Shares]]</f>
        <v>2562</v>
      </c>
    </row>
    <row r="56" spans="1:7" hidden="1">
      <c r="A56" s="7">
        <v>45572</v>
      </c>
      <c r="B56" t="s">
        <v>14</v>
      </c>
      <c r="C56">
        <v>764</v>
      </c>
      <c r="D56">
        <v>205</v>
      </c>
      <c r="E56">
        <v>319294</v>
      </c>
      <c r="F56" s="20">
        <f t="shared" si="0"/>
        <v>308152</v>
      </c>
      <c r="G56">
        <f>task_2_unsplit_dataset[[#This Row],[Likes]]+task_2_unsplit_dataset[[#This Row],[Comments]]+task_2_unsplit_dataset[[#This Row],[Shares]]</f>
        <v>3687</v>
      </c>
    </row>
    <row r="57" spans="1:7" hidden="1">
      <c r="A57" s="7">
        <v>45572</v>
      </c>
      <c r="B57" t="s">
        <v>24</v>
      </c>
      <c r="C57">
        <v>678</v>
      </c>
      <c r="D57">
        <v>124</v>
      </c>
      <c r="E57">
        <v>192022</v>
      </c>
      <c r="F57" s="20">
        <f t="shared" si="0"/>
        <v>262419.5</v>
      </c>
      <c r="G57">
        <f>task_2_unsplit_dataset[[#This Row],[Likes]]+task_2_unsplit_dataset[[#This Row],[Comments]]+task_2_unsplit_dataset[[#This Row],[Shares]]</f>
        <v>4432</v>
      </c>
    </row>
    <row r="58" spans="1:7" hidden="1">
      <c r="A58" s="7">
        <v>45572</v>
      </c>
      <c r="B58" t="s">
        <v>31</v>
      </c>
      <c r="C58">
        <v>1328</v>
      </c>
      <c r="D58">
        <v>103</v>
      </c>
      <c r="E58">
        <v>151462</v>
      </c>
      <c r="F58" s="20">
        <f t="shared" si="0"/>
        <v>255339.75</v>
      </c>
      <c r="G58">
        <f>task_2_unsplit_dataset[[#This Row],[Likes]]+task_2_unsplit_dataset[[#This Row],[Comments]]+task_2_unsplit_dataset[[#This Row],[Shares]]</f>
        <v>4313</v>
      </c>
    </row>
    <row r="59" spans="1:7" hidden="1">
      <c r="A59" s="7">
        <v>45579</v>
      </c>
      <c r="B59" t="s">
        <v>14</v>
      </c>
      <c r="C59">
        <v>1161</v>
      </c>
      <c r="D59">
        <v>269</v>
      </c>
      <c r="E59">
        <v>188193</v>
      </c>
      <c r="F59" s="20">
        <f t="shared" si="0"/>
        <v>212742.75</v>
      </c>
      <c r="G59">
        <f>task_2_unsplit_dataset[[#This Row],[Likes]]+task_2_unsplit_dataset[[#This Row],[Comments]]+task_2_unsplit_dataset[[#This Row],[Shares]]</f>
        <v>2132</v>
      </c>
    </row>
    <row r="60" spans="1:7" hidden="1">
      <c r="A60" s="7">
        <v>45579</v>
      </c>
      <c r="B60" t="s">
        <v>24</v>
      </c>
      <c r="C60">
        <v>588</v>
      </c>
      <c r="D60">
        <v>52</v>
      </c>
      <c r="E60">
        <v>292040</v>
      </c>
      <c r="F60" s="20">
        <f t="shared" si="0"/>
        <v>205929.25</v>
      </c>
      <c r="G60">
        <f>task_2_unsplit_dataset[[#This Row],[Likes]]+task_2_unsplit_dataset[[#This Row],[Comments]]+task_2_unsplit_dataset[[#This Row],[Shares]]</f>
        <v>2561</v>
      </c>
    </row>
    <row r="61" spans="1:7">
      <c r="A61" s="7">
        <v>45579</v>
      </c>
      <c r="B61" t="s">
        <v>31</v>
      </c>
      <c r="C61">
        <v>1457</v>
      </c>
      <c r="D61">
        <v>215</v>
      </c>
      <c r="E61">
        <v>325325</v>
      </c>
      <c r="F61" s="20">
        <f t="shared" si="0"/>
        <v>239255</v>
      </c>
      <c r="G61">
        <f>task_2_unsplit_dataset[[#This Row],[Likes]]+task_2_unsplit_dataset[[#This Row],[Comments]]+task_2_unsplit_dataset[[#This Row],[Shares]]</f>
        <v>4227</v>
      </c>
    </row>
    <row r="62" spans="1:7" hidden="1">
      <c r="A62" s="7">
        <v>45586</v>
      </c>
      <c r="B62" t="s">
        <v>14</v>
      </c>
      <c r="C62">
        <v>1190</v>
      </c>
      <c r="D62">
        <v>242</v>
      </c>
      <c r="E62">
        <v>86849</v>
      </c>
      <c r="F62" s="20">
        <f t="shared" si="0"/>
        <v>223101.75</v>
      </c>
      <c r="G62">
        <f>task_2_unsplit_dataset[[#This Row],[Likes]]+task_2_unsplit_dataset[[#This Row],[Comments]]+task_2_unsplit_dataset[[#This Row],[Shares]]</f>
        <v>2132</v>
      </c>
    </row>
    <row r="63" spans="1:7" hidden="1">
      <c r="A63" s="7">
        <v>45586</v>
      </c>
      <c r="B63" t="s">
        <v>24</v>
      </c>
      <c r="C63">
        <v>886</v>
      </c>
      <c r="D63">
        <v>124</v>
      </c>
      <c r="E63">
        <v>141161</v>
      </c>
      <c r="F63" s="20">
        <f t="shared" si="0"/>
        <v>211343.75</v>
      </c>
      <c r="G63">
        <f>task_2_unsplit_dataset[[#This Row],[Likes]]+task_2_unsplit_dataset[[#This Row],[Comments]]+task_2_unsplit_dataset[[#This Row],[Shares]]</f>
        <v>2899</v>
      </c>
    </row>
    <row r="64" spans="1:7" hidden="1">
      <c r="A64" s="7">
        <v>45586</v>
      </c>
      <c r="B64" t="s">
        <v>31</v>
      </c>
      <c r="C64">
        <v>1237</v>
      </c>
      <c r="D64">
        <v>155</v>
      </c>
      <c r="E64">
        <v>149916</v>
      </c>
      <c r="F64" s="20">
        <f t="shared" si="0"/>
        <v>175812.75</v>
      </c>
      <c r="G64">
        <f>task_2_unsplit_dataset[[#This Row],[Likes]]+task_2_unsplit_dataset[[#This Row],[Comments]]+task_2_unsplit_dataset[[#This Row],[Shares]]</f>
        <v>3105</v>
      </c>
    </row>
    <row r="65" spans="1:7">
      <c r="A65" s="7">
        <v>45593</v>
      </c>
      <c r="B65" t="s">
        <v>14</v>
      </c>
      <c r="C65">
        <v>1435</v>
      </c>
      <c r="D65">
        <v>261</v>
      </c>
      <c r="E65">
        <v>308533</v>
      </c>
      <c r="F65" s="20">
        <f t="shared" si="0"/>
        <v>171614.75</v>
      </c>
      <c r="G65">
        <f>task_2_unsplit_dataset[[#This Row],[Likes]]+task_2_unsplit_dataset[[#This Row],[Comments]]+task_2_unsplit_dataset[[#This Row],[Shares]]</f>
        <v>2150</v>
      </c>
    </row>
    <row r="66" spans="1:7" hidden="1">
      <c r="A66" s="7">
        <v>45593</v>
      </c>
      <c r="B66" t="s">
        <v>24</v>
      </c>
      <c r="C66">
        <v>746</v>
      </c>
      <c r="D66">
        <v>282</v>
      </c>
      <c r="E66">
        <v>293894</v>
      </c>
      <c r="F66" s="20">
        <f t="shared" si="0"/>
        <v>223376</v>
      </c>
      <c r="G66">
        <f>task_2_unsplit_dataset[[#This Row],[Likes]]+task_2_unsplit_dataset[[#This Row],[Comments]]+task_2_unsplit_dataset[[#This Row],[Shares]]</f>
        <v>2354</v>
      </c>
    </row>
    <row r="67" spans="1:7" hidden="1">
      <c r="A67" s="7">
        <v>45593</v>
      </c>
      <c r="B67" t="s">
        <v>31</v>
      </c>
      <c r="C67">
        <v>759</v>
      </c>
      <c r="D67">
        <v>216</v>
      </c>
      <c r="E67">
        <v>147656</v>
      </c>
      <c r="F67" s="20">
        <f t="shared" si="0"/>
        <v>224999.75</v>
      </c>
      <c r="G67">
        <f>task_2_unsplit_dataset[[#This Row],[Likes]]+task_2_unsplit_dataset[[#This Row],[Comments]]+task_2_unsplit_dataset[[#This Row],[Shares]]</f>
        <v>3084</v>
      </c>
    </row>
    <row r="68" spans="1:7">
      <c r="A68" s="7">
        <v>45600</v>
      </c>
      <c r="B68" t="s">
        <v>14</v>
      </c>
      <c r="C68">
        <v>1437</v>
      </c>
      <c r="D68">
        <v>235</v>
      </c>
      <c r="E68">
        <v>326791</v>
      </c>
      <c r="F68" s="20">
        <f t="shared" si="0"/>
        <v>269218.5</v>
      </c>
      <c r="G68">
        <f>task_2_unsplit_dataset[[#This Row],[Likes]]+task_2_unsplit_dataset[[#This Row],[Comments]]+task_2_unsplit_dataset[[#This Row],[Shares]]</f>
        <v>1591</v>
      </c>
    </row>
    <row r="69" spans="1:7">
      <c r="A69" s="7">
        <v>45600</v>
      </c>
      <c r="B69" t="s">
        <v>24</v>
      </c>
      <c r="C69">
        <v>1463</v>
      </c>
      <c r="D69">
        <v>73</v>
      </c>
      <c r="E69">
        <v>348877</v>
      </c>
      <c r="F69" s="20">
        <f t="shared" si="0"/>
        <v>279304.5</v>
      </c>
      <c r="G69">
        <f>task_2_unsplit_dataset[[#This Row],[Likes]]+task_2_unsplit_dataset[[#This Row],[Comments]]+task_2_unsplit_dataset[[#This Row],[Shares]]</f>
        <v>2136</v>
      </c>
    </row>
    <row r="70" spans="1:7" hidden="1">
      <c r="A70" s="7">
        <v>45600</v>
      </c>
      <c r="B70" t="s">
        <v>31</v>
      </c>
      <c r="C70">
        <v>1208</v>
      </c>
      <c r="D70">
        <v>224</v>
      </c>
      <c r="E70">
        <v>122730</v>
      </c>
      <c r="F70" s="20">
        <f t="shared" ref="F70:F133" si="1">AVERAGE(E67:E70)</f>
        <v>236513.5</v>
      </c>
      <c r="G70">
        <f>task_2_unsplit_dataset[[#This Row],[Likes]]+task_2_unsplit_dataset[[#This Row],[Comments]]+task_2_unsplit_dataset[[#This Row],[Shares]]</f>
        <v>4585</v>
      </c>
    </row>
    <row r="71" spans="1:7" hidden="1">
      <c r="A71" s="7">
        <v>45607</v>
      </c>
      <c r="B71" t="s">
        <v>14</v>
      </c>
      <c r="C71">
        <v>1391</v>
      </c>
      <c r="D71">
        <v>187</v>
      </c>
      <c r="E71">
        <v>306508</v>
      </c>
      <c r="F71" s="20">
        <f t="shared" si="1"/>
        <v>276226.5</v>
      </c>
      <c r="G71">
        <f>task_2_unsplit_dataset[[#This Row],[Likes]]+task_2_unsplit_dataset[[#This Row],[Comments]]+task_2_unsplit_dataset[[#This Row],[Shares]]</f>
        <v>5228</v>
      </c>
    </row>
    <row r="72" spans="1:7" hidden="1">
      <c r="A72" s="7">
        <v>45607</v>
      </c>
      <c r="B72" t="s">
        <v>24</v>
      </c>
      <c r="C72">
        <v>655</v>
      </c>
      <c r="D72">
        <v>123</v>
      </c>
      <c r="E72">
        <v>202472</v>
      </c>
      <c r="F72" s="20">
        <f t="shared" si="1"/>
        <v>245146.75</v>
      </c>
      <c r="G72">
        <f>task_2_unsplit_dataset[[#This Row],[Likes]]+task_2_unsplit_dataset[[#This Row],[Comments]]+task_2_unsplit_dataset[[#This Row],[Shares]]</f>
        <v>2358</v>
      </c>
    </row>
    <row r="73" spans="1:7" hidden="1">
      <c r="A73" s="7">
        <v>45607</v>
      </c>
      <c r="B73" t="s">
        <v>31</v>
      </c>
      <c r="C73">
        <v>1148</v>
      </c>
      <c r="D73">
        <v>90</v>
      </c>
      <c r="E73">
        <v>227249</v>
      </c>
      <c r="F73" s="20">
        <f t="shared" si="1"/>
        <v>214739.75</v>
      </c>
      <c r="G73">
        <f>task_2_unsplit_dataset[[#This Row],[Likes]]+task_2_unsplit_dataset[[#This Row],[Comments]]+task_2_unsplit_dataset[[#This Row],[Shares]]</f>
        <v>4900</v>
      </c>
    </row>
    <row r="74" spans="1:7" hidden="1">
      <c r="A74" s="7">
        <v>45614</v>
      </c>
      <c r="B74" t="s">
        <v>14</v>
      </c>
      <c r="C74">
        <v>946</v>
      </c>
      <c r="D74">
        <v>270</v>
      </c>
      <c r="E74">
        <v>246567</v>
      </c>
      <c r="F74" s="20">
        <f t="shared" si="1"/>
        <v>245699</v>
      </c>
      <c r="G74">
        <f>task_2_unsplit_dataset[[#This Row],[Likes]]+task_2_unsplit_dataset[[#This Row],[Comments]]+task_2_unsplit_dataset[[#This Row],[Shares]]</f>
        <v>2702</v>
      </c>
    </row>
    <row r="75" spans="1:7" hidden="1">
      <c r="A75" s="7">
        <v>45614</v>
      </c>
      <c r="B75" t="s">
        <v>24</v>
      </c>
      <c r="C75">
        <v>791</v>
      </c>
      <c r="D75">
        <v>214</v>
      </c>
      <c r="E75">
        <v>114738</v>
      </c>
      <c r="F75" s="20">
        <f t="shared" si="1"/>
        <v>197756.5</v>
      </c>
      <c r="G75">
        <f>task_2_unsplit_dataset[[#This Row],[Likes]]+task_2_unsplit_dataset[[#This Row],[Comments]]+task_2_unsplit_dataset[[#This Row],[Shares]]</f>
        <v>2960</v>
      </c>
    </row>
    <row r="76" spans="1:7" hidden="1">
      <c r="A76" s="7">
        <v>45614</v>
      </c>
      <c r="B76" t="s">
        <v>31</v>
      </c>
      <c r="C76">
        <v>793</v>
      </c>
      <c r="D76">
        <v>111</v>
      </c>
      <c r="E76">
        <v>333500</v>
      </c>
      <c r="F76" s="20">
        <f t="shared" si="1"/>
        <v>230513.5</v>
      </c>
      <c r="G76">
        <f>task_2_unsplit_dataset[[#This Row],[Likes]]+task_2_unsplit_dataset[[#This Row],[Comments]]+task_2_unsplit_dataset[[#This Row],[Shares]]</f>
        <v>5126</v>
      </c>
    </row>
    <row r="77" spans="1:7" hidden="1">
      <c r="A77" s="7">
        <v>45621</v>
      </c>
      <c r="B77" t="s">
        <v>14</v>
      </c>
      <c r="C77">
        <v>663</v>
      </c>
      <c r="D77">
        <v>213</v>
      </c>
      <c r="E77">
        <v>352677</v>
      </c>
      <c r="F77" s="20">
        <f t="shared" si="1"/>
        <v>261870.5</v>
      </c>
      <c r="G77">
        <f>task_2_unsplit_dataset[[#This Row],[Likes]]+task_2_unsplit_dataset[[#This Row],[Comments]]+task_2_unsplit_dataset[[#This Row],[Shares]]</f>
        <v>5521</v>
      </c>
    </row>
    <row r="78" spans="1:7" hidden="1">
      <c r="A78" s="7">
        <v>45621</v>
      </c>
      <c r="B78" t="s">
        <v>24</v>
      </c>
      <c r="C78">
        <v>954</v>
      </c>
      <c r="D78">
        <v>271</v>
      </c>
      <c r="E78">
        <v>160936</v>
      </c>
      <c r="F78" s="20">
        <f t="shared" si="1"/>
        <v>240462.75</v>
      </c>
      <c r="G78">
        <f>task_2_unsplit_dataset[[#This Row],[Likes]]+task_2_unsplit_dataset[[#This Row],[Comments]]+task_2_unsplit_dataset[[#This Row],[Shares]]</f>
        <v>4972</v>
      </c>
    </row>
    <row r="79" spans="1:7" hidden="1">
      <c r="A79" s="7">
        <v>45621</v>
      </c>
      <c r="B79" t="s">
        <v>31</v>
      </c>
      <c r="C79">
        <v>1313</v>
      </c>
      <c r="D79">
        <v>159</v>
      </c>
      <c r="E79">
        <v>197183</v>
      </c>
      <c r="F79" s="20">
        <f t="shared" si="1"/>
        <v>261074</v>
      </c>
      <c r="G79">
        <f>task_2_unsplit_dataset[[#This Row],[Likes]]+task_2_unsplit_dataset[[#This Row],[Comments]]+task_2_unsplit_dataset[[#This Row],[Shares]]</f>
        <v>3899</v>
      </c>
    </row>
    <row r="80" spans="1:7" hidden="1">
      <c r="A80" s="7">
        <v>45628</v>
      </c>
      <c r="B80" t="s">
        <v>14</v>
      </c>
      <c r="C80">
        <v>895</v>
      </c>
      <c r="D80">
        <v>87</v>
      </c>
      <c r="E80">
        <v>171271</v>
      </c>
      <c r="F80" s="20">
        <f t="shared" si="1"/>
        <v>220516.75</v>
      </c>
      <c r="G80">
        <f>task_2_unsplit_dataset[[#This Row],[Likes]]+task_2_unsplit_dataset[[#This Row],[Comments]]+task_2_unsplit_dataset[[#This Row],[Shares]]</f>
        <v>2559</v>
      </c>
    </row>
    <row r="81" spans="1:7" hidden="1">
      <c r="A81" s="7">
        <v>45628</v>
      </c>
      <c r="B81" t="s">
        <v>24</v>
      </c>
      <c r="C81">
        <v>1027</v>
      </c>
      <c r="D81">
        <v>156</v>
      </c>
      <c r="E81">
        <v>111293</v>
      </c>
      <c r="F81" s="20">
        <f t="shared" si="1"/>
        <v>160170.75</v>
      </c>
      <c r="G81">
        <f>task_2_unsplit_dataset[[#This Row],[Likes]]+task_2_unsplit_dataset[[#This Row],[Comments]]+task_2_unsplit_dataset[[#This Row],[Shares]]</f>
        <v>4942</v>
      </c>
    </row>
    <row r="82" spans="1:7" hidden="1">
      <c r="A82" s="7">
        <v>45628</v>
      </c>
      <c r="B82" t="s">
        <v>31</v>
      </c>
      <c r="C82">
        <v>990</v>
      </c>
      <c r="D82">
        <v>286</v>
      </c>
      <c r="E82">
        <v>351493</v>
      </c>
      <c r="F82" s="20">
        <f t="shared" si="1"/>
        <v>207810</v>
      </c>
      <c r="G82">
        <f>task_2_unsplit_dataset[[#This Row],[Likes]]+task_2_unsplit_dataset[[#This Row],[Comments]]+task_2_unsplit_dataset[[#This Row],[Shares]]</f>
        <v>2481</v>
      </c>
    </row>
    <row r="83" spans="1:7" hidden="1">
      <c r="A83" s="7">
        <v>45635</v>
      </c>
      <c r="B83" t="s">
        <v>14</v>
      </c>
      <c r="C83">
        <v>875</v>
      </c>
      <c r="D83">
        <v>264</v>
      </c>
      <c r="E83">
        <v>345631</v>
      </c>
      <c r="F83" s="20">
        <f t="shared" si="1"/>
        <v>244922</v>
      </c>
      <c r="G83">
        <f>task_2_unsplit_dataset[[#This Row],[Likes]]+task_2_unsplit_dataset[[#This Row],[Comments]]+task_2_unsplit_dataset[[#This Row],[Shares]]</f>
        <v>3543</v>
      </c>
    </row>
    <row r="84" spans="1:7" hidden="1">
      <c r="A84" s="7">
        <v>45635</v>
      </c>
      <c r="B84" t="s">
        <v>24</v>
      </c>
      <c r="C84">
        <v>599</v>
      </c>
      <c r="D84">
        <v>194</v>
      </c>
      <c r="E84">
        <v>105622</v>
      </c>
      <c r="F84" s="20">
        <f t="shared" si="1"/>
        <v>228509.75</v>
      </c>
      <c r="G84">
        <f>task_2_unsplit_dataset[[#This Row],[Likes]]+task_2_unsplit_dataset[[#This Row],[Comments]]+task_2_unsplit_dataset[[#This Row],[Shares]]</f>
        <v>2811</v>
      </c>
    </row>
    <row r="85" spans="1:7" hidden="1">
      <c r="A85" s="7">
        <v>45635</v>
      </c>
      <c r="B85" t="s">
        <v>31</v>
      </c>
      <c r="C85">
        <v>630</v>
      </c>
      <c r="D85">
        <v>248</v>
      </c>
      <c r="E85">
        <v>119054</v>
      </c>
      <c r="F85" s="20">
        <f t="shared" si="1"/>
        <v>230450</v>
      </c>
      <c r="G85">
        <f>task_2_unsplit_dataset[[#This Row],[Likes]]+task_2_unsplit_dataset[[#This Row],[Comments]]+task_2_unsplit_dataset[[#This Row],[Shares]]</f>
        <v>2957</v>
      </c>
    </row>
    <row r="86" spans="1:7" hidden="1">
      <c r="A86" s="7">
        <v>45642</v>
      </c>
      <c r="B86" t="s">
        <v>14</v>
      </c>
      <c r="C86">
        <v>1350</v>
      </c>
      <c r="D86">
        <v>233</v>
      </c>
      <c r="E86">
        <v>171670</v>
      </c>
      <c r="F86" s="20">
        <f t="shared" si="1"/>
        <v>185494.25</v>
      </c>
      <c r="G86">
        <f>task_2_unsplit_dataset[[#This Row],[Likes]]+task_2_unsplit_dataset[[#This Row],[Comments]]+task_2_unsplit_dataset[[#This Row],[Shares]]</f>
        <v>2952</v>
      </c>
    </row>
    <row r="87" spans="1:7" hidden="1">
      <c r="A87" s="7">
        <v>45642</v>
      </c>
      <c r="B87" t="s">
        <v>24</v>
      </c>
      <c r="C87">
        <v>632</v>
      </c>
      <c r="D87">
        <v>155</v>
      </c>
      <c r="E87">
        <v>170432</v>
      </c>
      <c r="F87" s="20">
        <f t="shared" si="1"/>
        <v>141694.5</v>
      </c>
      <c r="G87">
        <f>task_2_unsplit_dataset[[#This Row],[Likes]]+task_2_unsplit_dataset[[#This Row],[Comments]]+task_2_unsplit_dataset[[#This Row],[Shares]]</f>
        <v>2730</v>
      </c>
    </row>
    <row r="88" spans="1:7" hidden="1">
      <c r="A88" s="7">
        <v>45642</v>
      </c>
      <c r="B88" t="s">
        <v>31</v>
      </c>
      <c r="C88">
        <v>1182</v>
      </c>
      <c r="D88">
        <v>83</v>
      </c>
      <c r="E88">
        <v>140300</v>
      </c>
      <c r="F88" s="20">
        <f t="shared" si="1"/>
        <v>150364</v>
      </c>
      <c r="G88">
        <f>task_2_unsplit_dataset[[#This Row],[Likes]]+task_2_unsplit_dataset[[#This Row],[Comments]]+task_2_unsplit_dataset[[#This Row],[Shares]]</f>
        <v>5510</v>
      </c>
    </row>
    <row r="89" spans="1:7" hidden="1">
      <c r="A89" s="7">
        <v>45649</v>
      </c>
      <c r="B89" t="s">
        <v>14</v>
      </c>
      <c r="C89">
        <v>661</v>
      </c>
      <c r="D89">
        <v>94</v>
      </c>
      <c r="E89">
        <v>116538</v>
      </c>
      <c r="F89" s="20">
        <f t="shared" si="1"/>
        <v>149735</v>
      </c>
      <c r="G89">
        <f>task_2_unsplit_dataset[[#This Row],[Likes]]+task_2_unsplit_dataset[[#This Row],[Comments]]+task_2_unsplit_dataset[[#This Row],[Shares]]</f>
        <v>4836</v>
      </c>
    </row>
    <row r="90" spans="1:7" hidden="1">
      <c r="A90" s="7">
        <v>45649</v>
      </c>
      <c r="B90" t="s">
        <v>24</v>
      </c>
      <c r="C90">
        <v>1360</v>
      </c>
      <c r="D90">
        <v>227</v>
      </c>
      <c r="E90">
        <v>176902</v>
      </c>
      <c r="F90" s="20">
        <f t="shared" si="1"/>
        <v>151043</v>
      </c>
      <c r="G90">
        <f>task_2_unsplit_dataset[[#This Row],[Likes]]+task_2_unsplit_dataset[[#This Row],[Comments]]+task_2_unsplit_dataset[[#This Row],[Shares]]</f>
        <v>1948</v>
      </c>
    </row>
    <row r="91" spans="1:7" hidden="1">
      <c r="A91" s="7">
        <v>45649</v>
      </c>
      <c r="B91" t="s">
        <v>31</v>
      </c>
      <c r="C91">
        <v>935</v>
      </c>
      <c r="D91">
        <v>85</v>
      </c>
      <c r="E91">
        <v>326821</v>
      </c>
      <c r="F91" s="20">
        <f t="shared" si="1"/>
        <v>190140.25</v>
      </c>
      <c r="G91">
        <f>task_2_unsplit_dataset[[#This Row],[Likes]]+task_2_unsplit_dataset[[#This Row],[Comments]]+task_2_unsplit_dataset[[#This Row],[Shares]]</f>
        <v>3883</v>
      </c>
    </row>
    <row r="92" spans="1:7" hidden="1">
      <c r="A92" s="7">
        <v>45656</v>
      </c>
      <c r="B92" t="s">
        <v>14</v>
      </c>
      <c r="C92">
        <v>664</v>
      </c>
      <c r="D92">
        <v>251</v>
      </c>
      <c r="E92">
        <v>240598</v>
      </c>
      <c r="F92" s="20">
        <f t="shared" si="1"/>
        <v>215214.75</v>
      </c>
      <c r="G92">
        <f>task_2_unsplit_dataset[[#This Row],[Likes]]+task_2_unsplit_dataset[[#This Row],[Comments]]+task_2_unsplit_dataset[[#This Row],[Shares]]</f>
        <v>2580</v>
      </c>
    </row>
    <row r="93" spans="1:7">
      <c r="A93" s="7">
        <v>45656</v>
      </c>
      <c r="B93" t="s">
        <v>24</v>
      </c>
      <c r="C93">
        <v>1490</v>
      </c>
      <c r="D93">
        <v>103</v>
      </c>
      <c r="E93">
        <v>373274</v>
      </c>
      <c r="F93" s="20">
        <f t="shared" si="1"/>
        <v>279398.75</v>
      </c>
      <c r="G93">
        <f>task_2_unsplit_dataset[[#This Row],[Likes]]+task_2_unsplit_dataset[[#This Row],[Comments]]+task_2_unsplit_dataset[[#This Row],[Shares]]</f>
        <v>3746</v>
      </c>
    </row>
    <row r="94" spans="1:7" hidden="1">
      <c r="A94" s="7">
        <v>45656</v>
      </c>
      <c r="B94" t="s">
        <v>31</v>
      </c>
      <c r="C94">
        <v>601</v>
      </c>
      <c r="D94">
        <v>64</v>
      </c>
      <c r="E94">
        <v>123272</v>
      </c>
      <c r="F94" s="20">
        <f t="shared" si="1"/>
        <v>265991.25</v>
      </c>
      <c r="G94">
        <f>task_2_unsplit_dataset[[#This Row],[Likes]]+task_2_unsplit_dataset[[#This Row],[Comments]]+task_2_unsplit_dataset[[#This Row],[Shares]]</f>
        <v>1884</v>
      </c>
    </row>
    <row r="95" spans="1:7" hidden="1">
      <c r="A95" s="7">
        <v>45663</v>
      </c>
      <c r="B95" t="s">
        <v>14</v>
      </c>
      <c r="C95">
        <v>613</v>
      </c>
      <c r="D95">
        <v>170</v>
      </c>
      <c r="E95">
        <v>139266</v>
      </c>
      <c r="F95" s="20">
        <f t="shared" si="1"/>
        <v>219102.5</v>
      </c>
      <c r="G95">
        <f>task_2_unsplit_dataset[[#This Row],[Likes]]+task_2_unsplit_dataset[[#This Row],[Comments]]+task_2_unsplit_dataset[[#This Row],[Shares]]</f>
        <v>3095</v>
      </c>
    </row>
    <row r="96" spans="1:7" hidden="1">
      <c r="A96" s="7">
        <v>45663</v>
      </c>
      <c r="B96" t="s">
        <v>24</v>
      </c>
      <c r="C96">
        <v>1340</v>
      </c>
      <c r="D96">
        <v>57</v>
      </c>
      <c r="E96">
        <v>155927</v>
      </c>
      <c r="F96" s="20">
        <f t="shared" si="1"/>
        <v>197934.75</v>
      </c>
      <c r="G96">
        <f>task_2_unsplit_dataset[[#This Row],[Likes]]+task_2_unsplit_dataset[[#This Row],[Comments]]+task_2_unsplit_dataset[[#This Row],[Shares]]</f>
        <v>2796</v>
      </c>
    </row>
    <row r="97" spans="1:7" hidden="1">
      <c r="A97" s="7">
        <v>45663</v>
      </c>
      <c r="B97" t="s">
        <v>31</v>
      </c>
      <c r="C97">
        <v>953</v>
      </c>
      <c r="D97">
        <v>228</v>
      </c>
      <c r="E97">
        <v>258398</v>
      </c>
      <c r="F97" s="20">
        <f t="shared" si="1"/>
        <v>169215.75</v>
      </c>
      <c r="G97">
        <f>task_2_unsplit_dataset[[#This Row],[Likes]]+task_2_unsplit_dataset[[#This Row],[Comments]]+task_2_unsplit_dataset[[#This Row],[Shares]]</f>
        <v>3599</v>
      </c>
    </row>
    <row r="98" spans="1:7" hidden="1">
      <c r="A98" s="7">
        <v>45670</v>
      </c>
      <c r="B98" t="s">
        <v>14</v>
      </c>
      <c r="C98">
        <v>532</v>
      </c>
      <c r="D98">
        <v>65</v>
      </c>
      <c r="E98">
        <v>338561</v>
      </c>
      <c r="F98" s="20">
        <f t="shared" si="1"/>
        <v>223038</v>
      </c>
      <c r="G98">
        <f>task_2_unsplit_dataset[[#This Row],[Likes]]+task_2_unsplit_dataset[[#This Row],[Comments]]+task_2_unsplit_dataset[[#This Row],[Shares]]</f>
        <v>4954</v>
      </c>
    </row>
    <row r="99" spans="1:7">
      <c r="A99" s="7">
        <v>45670</v>
      </c>
      <c r="B99" t="s">
        <v>24</v>
      </c>
      <c r="C99">
        <v>1414</v>
      </c>
      <c r="D99">
        <v>60</v>
      </c>
      <c r="E99">
        <v>341856</v>
      </c>
      <c r="F99" s="20">
        <f t="shared" si="1"/>
        <v>273685.5</v>
      </c>
      <c r="G99">
        <f>task_2_unsplit_dataset[[#This Row],[Likes]]+task_2_unsplit_dataset[[#This Row],[Comments]]+task_2_unsplit_dataset[[#This Row],[Shares]]</f>
        <v>2803</v>
      </c>
    </row>
    <row r="100" spans="1:7" hidden="1">
      <c r="A100" s="7">
        <v>45670</v>
      </c>
      <c r="B100" t="s">
        <v>31</v>
      </c>
      <c r="C100">
        <v>685</v>
      </c>
      <c r="D100">
        <v>165</v>
      </c>
      <c r="E100">
        <v>175860</v>
      </c>
      <c r="F100" s="20">
        <f t="shared" si="1"/>
        <v>278668.75</v>
      </c>
      <c r="G100">
        <f>task_2_unsplit_dataset[[#This Row],[Likes]]+task_2_unsplit_dataset[[#This Row],[Comments]]+task_2_unsplit_dataset[[#This Row],[Shares]]</f>
        <v>2082</v>
      </c>
    </row>
    <row r="101" spans="1:7" hidden="1">
      <c r="A101" s="7">
        <v>45677</v>
      </c>
      <c r="B101" t="s">
        <v>14</v>
      </c>
      <c r="C101">
        <v>601</v>
      </c>
      <c r="D101">
        <v>159</v>
      </c>
      <c r="E101">
        <v>327722</v>
      </c>
      <c r="F101" s="20">
        <f t="shared" si="1"/>
        <v>295999.75</v>
      </c>
      <c r="G101">
        <f>task_2_unsplit_dataset[[#This Row],[Likes]]+task_2_unsplit_dataset[[#This Row],[Comments]]+task_2_unsplit_dataset[[#This Row],[Shares]]</f>
        <v>3122</v>
      </c>
    </row>
    <row r="102" spans="1:7" hidden="1">
      <c r="A102" s="7">
        <v>45677</v>
      </c>
      <c r="B102" t="s">
        <v>24</v>
      </c>
      <c r="C102">
        <v>841</v>
      </c>
      <c r="D102">
        <v>295</v>
      </c>
      <c r="E102">
        <v>271638</v>
      </c>
      <c r="F102" s="20">
        <f t="shared" si="1"/>
        <v>279269</v>
      </c>
      <c r="G102">
        <f>task_2_unsplit_dataset[[#This Row],[Likes]]+task_2_unsplit_dataset[[#This Row],[Comments]]+task_2_unsplit_dataset[[#This Row],[Shares]]</f>
        <v>4227</v>
      </c>
    </row>
    <row r="103" spans="1:7" hidden="1">
      <c r="A103" s="7">
        <v>45677</v>
      </c>
      <c r="B103" t="s">
        <v>31</v>
      </c>
      <c r="C103">
        <v>1105</v>
      </c>
      <c r="D103">
        <v>261</v>
      </c>
      <c r="E103">
        <v>333851</v>
      </c>
      <c r="F103" s="20">
        <f t="shared" si="1"/>
        <v>277267.75</v>
      </c>
      <c r="G103">
        <f>task_2_unsplit_dataset[[#This Row],[Likes]]+task_2_unsplit_dataset[[#This Row],[Comments]]+task_2_unsplit_dataset[[#This Row],[Shares]]</f>
        <v>1953</v>
      </c>
    </row>
    <row r="104" spans="1:7" hidden="1">
      <c r="A104" s="7">
        <v>45684</v>
      </c>
      <c r="B104" t="s">
        <v>14</v>
      </c>
      <c r="C104">
        <v>566</v>
      </c>
      <c r="D104">
        <v>225</v>
      </c>
      <c r="E104">
        <v>368984</v>
      </c>
      <c r="F104" s="20">
        <f t="shared" si="1"/>
        <v>325548.75</v>
      </c>
      <c r="G104">
        <f>task_2_unsplit_dataset[[#This Row],[Likes]]+task_2_unsplit_dataset[[#This Row],[Comments]]+task_2_unsplit_dataset[[#This Row],[Shares]]</f>
        <v>5595</v>
      </c>
    </row>
    <row r="105" spans="1:7" hidden="1">
      <c r="A105" s="7">
        <v>45684</v>
      </c>
      <c r="B105" t="s">
        <v>24</v>
      </c>
      <c r="C105">
        <v>1149</v>
      </c>
      <c r="D105">
        <v>280</v>
      </c>
      <c r="E105">
        <v>167310</v>
      </c>
      <c r="F105" s="20">
        <f t="shared" si="1"/>
        <v>285445.75</v>
      </c>
      <c r="G105">
        <f>task_2_unsplit_dataset[[#This Row],[Likes]]+task_2_unsplit_dataset[[#This Row],[Comments]]+task_2_unsplit_dataset[[#This Row],[Shares]]</f>
        <v>3523</v>
      </c>
    </row>
    <row r="106" spans="1:7" hidden="1">
      <c r="A106" s="7">
        <v>45684</v>
      </c>
      <c r="B106" t="s">
        <v>31</v>
      </c>
      <c r="C106">
        <v>819</v>
      </c>
      <c r="D106">
        <v>101</v>
      </c>
      <c r="E106">
        <v>194811</v>
      </c>
      <c r="F106" s="20">
        <f t="shared" si="1"/>
        <v>266239</v>
      </c>
      <c r="G106">
        <f>task_2_unsplit_dataset[[#This Row],[Likes]]+task_2_unsplit_dataset[[#This Row],[Comments]]+task_2_unsplit_dataset[[#This Row],[Shares]]</f>
        <v>2773</v>
      </c>
    </row>
    <row r="107" spans="1:7" hidden="1">
      <c r="A107" s="7">
        <v>45691</v>
      </c>
      <c r="B107" t="s">
        <v>14</v>
      </c>
      <c r="C107">
        <v>795</v>
      </c>
      <c r="D107">
        <v>60</v>
      </c>
      <c r="E107">
        <v>314982</v>
      </c>
      <c r="F107" s="20">
        <f t="shared" si="1"/>
        <v>261521.75</v>
      </c>
      <c r="G107">
        <f>task_2_unsplit_dataset[[#This Row],[Likes]]+task_2_unsplit_dataset[[#This Row],[Comments]]+task_2_unsplit_dataset[[#This Row],[Shares]]</f>
        <v>4530</v>
      </c>
    </row>
    <row r="108" spans="1:7" hidden="1">
      <c r="A108" s="7">
        <v>45691</v>
      </c>
      <c r="B108" t="s">
        <v>24</v>
      </c>
      <c r="C108">
        <v>681</v>
      </c>
      <c r="D108">
        <v>158</v>
      </c>
      <c r="E108">
        <v>75960</v>
      </c>
      <c r="F108" s="20">
        <f t="shared" si="1"/>
        <v>188265.75</v>
      </c>
      <c r="G108">
        <f>task_2_unsplit_dataset[[#This Row],[Likes]]+task_2_unsplit_dataset[[#This Row],[Comments]]+task_2_unsplit_dataset[[#This Row],[Shares]]</f>
        <v>1689</v>
      </c>
    </row>
    <row r="109" spans="1:7" hidden="1">
      <c r="A109" s="7">
        <v>45691</v>
      </c>
      <c r="B109" t="s">
        <v>31</v>
      </c>
      <c r="C109">
        <v>534</v>
      </c>
      <c r="D109">
        <v>112</v>
      </c>
      <c r="E109">
        <v>360759</v>
      </c>
      <c r="F109" s="20">
        <f t="shared" si="1"/>
        <v>236628</v>
      </c>
      <c r="G109">
        <f>task_2_unsplit_dataset[[#This Row],[Likes]]+task_2_unsplit_dataset[[#This Row],[Comments]]+task_2_unsplit_dataset[[#This Row],[Shares]]</f>
        <v>3969</v>
      </c>
    </row>
    <row r="110" spans="1:7" hidden="1">
      <c r="A110" s="7">
        <v>45698</v>
      </c>
      <c r="B110" t="s">
        <v>14</v>
      </c>
      <c r="C110">
        <v>1066</v>
      </c>
      <c r="D110">
        <v>151</v>
      </c>
      <c r="E110">
        <v>297090</v>
      </c>
      <c r="F110" s="20">
        <f t="shared" si="1"/>
        <v>262197.75</v>
      </c>
      <c r="G110">
        <f>task_2_unsplit_dataset[[#This Row],[Likes]]+task_2_unsplit_dataset[[#This Row],[Comments]]+task_2_unsplit_dataset[[#This Row],[Shares]]</f>
        <v>4483</v>
      </c>
    </row>
    <row r="111" spans="1:7" hidden="1">
      <c r="A111" s="7">
        <v>45698</v>
      </c>
      <c r="B111" t="s">
        <v>24</v>
      </c>
      <c r="C111">
        <v>1270</v>
      </c>
      <c r="D111">
        <v>162</v>
      </c>
      <c r="E111">
        <v>92040</v>
      </c>
      <c r="F111" s="20">
        <f t="shared" si="1"/>
        <v>206462.25</v>
      </c>
      <c r="G111">
        <f>task_2_unsplit_dataset[[#This Row],[Likes]]+task_2_unsplit_dataset[[#This Row],[Comments]]+task_2_unsplit_dataset[[#This Row],[Shares]]</f>
        <v>5728</v>
      </c>
    </row>
    <row r="112" spans="1:7" hidden="1">
      <c r="A112" s="7">
        <v>45698</v>
      </c>
      <c r="B112" t="s">
        <v>31</v>
      </c>
      <c r="C112">
        <v>536</v>
      </c>
      <c r="D112">
        <v>198</v>
      </c>
      <c r="E112">
        <v>174610</v>
      </c>
      <c r="F112" s="20">
        <f t="shared" si="1"/>
        <v>231124.75</v>
      </c>
      <c r="G112">
        <f>task_2_unsplit_dataset[[#This Row],[Likes]]+task_2_unsplit_dataset[[#This Row],[Comments]]+task_2_unsplit_dataset[[#This Row],[Shares]]</f>
        <v>5038</v>
      </c>
    </row>
    <row r="113" spans="1:7" hidden="1">
      <c r="A113" s="7">
        <v>45705</v>
      </c>
      <c r="B113" t="s">
        <v>14</v>
      </c>
      <c r="C113">
        <v>819</v>
      </c>
      <c r="D113">
        <v>95</v>
      </c>
      <c r="E113">
        <v>177376</v>
      </c>
      <c r="F113" s="20">
        <f t="shared" si="1"/>
        <v>185279</v>
      </c>
      <c r="G113">
        <f>task_2_unsplit_dataset[[#This Row],[Likes]]+task_2_unsplit_dataset[[#This Row],[Comments]]+task_2_unsplit_dataset[[#This Row],[Shares]]</f>
        <v>2492</v>
      </c>
    </row>
    <row r="114" spans="1:7" hidden="1">
      <c r="A114" s="7">
        <v>45705</v>
      </c>
      <c r="B114" t="s">
        <v>24</v>
      </c>
      <c r="C114">
        <v>681</v>
      </c>
      <c r="D114">
        <v>218</v>
      </c>
      <c r="E114">
        <v>198882</v>
      </c>
      <c r="F114" s="20">
        <f t="shared" si="1"/>
        <v>160727</v>
      </c>
      <c r="G114">
        <f>task_2_unsplit_dataset[[#This Row],[Likes]]+task_2_unsplit_dataset[[#This Row],[Comments]]+task_2_unsplit_dataset[[#This Row],[Shares]]</f>
        <v>5307</v>
      </c>
    </row>
    <row r="115" spans="1:7" hidden="1">
      <c r="A115" s="7">
        <v>45705</v>
      </c>
      <c r="B115" t="s">
        <v>31</v>
      </c>
      <c r="C115">
        <v>646</v>
      </c>
      <c r="D115">
        <v>290</v>
      </c>
      <c r="E115">
        <v>336383</v>
      </c>
      <c r="F115" s="20">
        <f t="shared" si="1"/>
        <v>221812.75</v>
      </c>
      <c r="G115">
        <f>task_2_unsplit_dataset[[#This Row],[Likes]]+task_2_unsplit_dataset[[#This Row],[Comments]]+task_2_unsplit_dataset[[#This Row],[Shares]]</f>
        <v>5538</v>
      </c>
    </row>
    <row r="116" spans="1:7" hidden="1">
      <c r="A116" s="7">
        <v>45712</v>
      </c>
      <c r="B116" t="s">
        <v>14</v>
      </c>
      <c r="C116">
        <v>645</v>
      </c>
      <c r="D116">
        <v>267</v>
      </c>
      <c r="E116">
        <v>346890</v>
      </c>
      <c r="F116" s="20">
        <f t="shared" si="1"/>
        <v>264882.75</v>
      </c>
      <c r="G116">
        <f>task_2_unsplit_dataset[[#This Row],[Likes]]+task_2_unsplit_dataset[[#This Row],[Comments]]+task_2_unsplit_dataset[[#This Row],[Shares]]</f>
        <v>2939</v>
      </c>
    </row>
    <row r="117" spans="1:7" hidden="1">
      <c r="A117" s="7">
        <v>45712</v>
      </c>
      <c r="B117" t="s">
        <v>24</v>
      </c>
      <c r="C117">
        <v>886</v>
      </c>
      <c r="D117">
        <v>250</v>
      </c>
      <c r="E117">
        <v>168170</v>
      </c>
      <c r="F117" s="20">
        <f t="shared" si="1"/>
        <v>262581.25</v>
      </c>
      <c r="G117">
        <f>task_2_unsplit_dataset[[#This Row],[Likes]]+task_2_unsplit_dataset[[#This Row],[Comments]]+task_2_unsplit_dataset[[#This Row],[Shares]]</f>
        <v>2731</v>
      </c>
    </row>
    <row r="118" spans="1:7" hidden="1">
      <c r="A118" s="7">
        <v>45712</v>
      </c>
      <c r="B118" t="s">
        <v>31</v>
      </c>
      <c r="C118">
        <v>978</v>
      </c>
      <c r="D118">
        <v>279</v>
      </c>
      <c r="E118">
        <v>368872</v>
      </c>
      <c r="F118" s="20">
        <f t="shared" si="1"/>
        <v>305078.75</v>
      </c>
      <c r="G118">
        <f>task_2_unsplit_dataset[[#This Row],[Likes]]+task_2_unsplit_dataset[[#This Row],[Comments]]+task_2_unsplit_dataset[[#This Row],[Shares]]</f>
        <v>4850</v>
      </c>
    </row>
    <row r="119" spans="1:7">
      <c r="A119" s="7">
        <v>45719</v>
      </c>
      <c r="B119" t="s">
        <v>14</v>
      </c>
      <c r="C119">
        <v>1444</v>
      </c>
      <c r="D119">
        <v>165</v>
      </c>
      <c r="E119">
        <v>116436</v>
      </c>
      <c r="F119" s="20">
        <f t="shared" si="1"/>
        <v>250092</v>
      </c>
      <c r="G119">
        <f>task_2_unsplit_dataset[[#This Row],[Likes]]+task_2_unsplit_dataset[[#This Row],[Comments]]+task_2_unsplit_dataset[[#This Row],[Shares]]</f>
        <v>3464</v>
      </c>
    </row>
    <row r="120" spans="1:7" hidden="1">
      <c r="A120" s="7">
        <v>45719</v>
      </c>
      <c r="B120" t="s">
        <v>24</v>
      </c>
      <c r="C120">
        <v>1234</v>
      </c>
      <c r="D120">
        <v>228</v>
      </c>
      <c r="E120">
        <v>127502</v>
      </c>
      <c r="F120" s="20">
        <f t="shared" si="1"/>
        <v>195245</v>
      </c>
      <c r="G120">
        <f>task_2_unsplit_dataset[[#This Row],[Likes]]+task_2_unsplit_dataset[[#This Row],[Comments]]+task_2_unsplit_dataset[[#This Row],[Shares]]</f>
        <v>3197</v>
      </c>
    </row>
    <row r="121" spans="1:7" hidden="1">
      <c r="A121" s="7">
        <v>45719</v>
      </c>
      <c r="B121" t="s">
        <v>31</v>
      </c>
      <c r="C121">
        <v>665</v>
      </c>
      <c r="D121">
        <v>187</v>
      </c>
      <c r="E121">
        <v>274567</v>
      </c>
      <c r="F121" s="20">
        <f t="shared" si="1"/>
        <v>221844.25</v>
      </c>
      <c r="G121">
        <f>task_2_unsplit_dataset[[#This Row],[Likes]]+task_2_unsplit_dataset[[#This Row],[Comments]]+task_2_unsplit_dataset[[#This Row],[Shares]]</f>
        <v>2821</v>
      </c>
    </row>
    <row r="122" spans="1:7" hidden="1">
      <c r="A122" s="7">
        <v>45726</v>
      </c>
      <c r="B122" t="s">
        <v>14</v>
      </c>
      <c r="C122">
        <v>631</v>
      </c>
      <c r="D122">
        <v>86</v>
      </c>
      <c r="E122">
        <v>295090</v>
      </c>
      <c r="F122" s="20">
        <f t="shared" si="1"/>
        <v>203398.75</v>
      </c>
      <c r="G122">
        <f>task_2_unsplit_dataset[[#This Row],[Likes]]+task_2_unsplit_dataset[[#This Row],[Comments]]+task_2_unsplit_dataset[[#This Row],[Shares]]</f>
        <v>3730</v>
      </c>
    </row>
    <row r="123" spans="1:7" hidden="1">
      <c r="A123" s="7">
        <v>45726</v>
      </c>
      <c r="B123" t="s">
        <v>24</v>
      </c>
      <c r="C123">
        <v>1159</v>
      </c>
      <c r="D123">
        <v>154</v>
      </c>
      <c r="E123">
        <v>194994</v>
      </c>
      <c r="F123" s="20">
        <f t="shared" si="1"/>
        <v>223038.25</v>
      </c>
      <c r="G123">
        <f>task_2_unsplit_dataset[[#This Row],[Likes]]+task_2_unsplit_dataset[[#This Row],[Comments]]+task_2_unsplit_dataset[[#This Row],[Shares]]</f>
        <v>3444</v>
      </c>
    </row>
    <row r="124" spans="1:7" hidden="1">
      <c r="A124" s="7">
        <v>45726</v>
      </c>
      <c r="B124" t="s">
        <v>31</v>
      </c>
      <c r="C124">
        <v>950</v>
      </c>
      <c r="D124">
        <v>185</v>
      </c>
      <c r="E124">
        <v>340750</v>
      </c>
      <c r="F124" s="20">
        <f t="shared" si="1"/>
        <v>276350.25</v>
      </c>
      <c r="G124">
        <f>task_2_unsplit_dataset[[#This Row],[Likes]]+task_2_unsplit_dataset[[#This Row],[Comments]]+task_2_unsplit_dataset[[#This Row],[Shares]]</f>
        <v>2123</v>
      </c>
    </row>
    <row r="125" spans="1:7" hidden="1">
      <c r="A125" s="7">
        <v>45733</v>
      </c>
      <c r="B125" t="s">
        <v>14</v>
      </c>
      <c r="C125">
        <v>693</v>
      </c>
      <c r="D125">
        <v>129</v>
      </c>
      <c r="E125">
        <v>296031</v>
      </c>
      <c r="F125" s="20">
        <f t="shared" si="1"/>
        <v>281716.25</v>
      </c>
      <c r="G125">
        <f>task_2_unsplit_dataset[[#This Row],[Likes]]+task_2_unsplit_dataset[[#This Row],[Comments]]+task_2_unsplit_dataset[[#This Row],[Shares]]</f>
        <v>3234</v>
      </c>
    </row>
    <row r="126" spans="1:7" hidden="1">
      <c r="A126" s="7">
        <v>45733</v>
      </c>
      <c r="B126" t="s">
        <v>24</v>
      </c>
      <c r="C126">
        <v>576</v>
      </c>
      <c r="D126">
        <v>80</v>
      </c>
      <c r="E126">
        <v>345688</v>
      </c>
      <c r="F126" s="20">
        <f t="shared" si="1"/>
        <v>294365.75</v>
      </c>
      <c r="G126">
        <f>task_2_unsplit_dataset[[#This Row],[Likes]]+task_2_unsplit_dataset[[#This Row],[Comments]]+task_2_unsplit_dataset[[#This Row],[Shares]]</f>
        <v>4874</v>
      </c>
    </row>
    <row r="127" spans="1:7" hidden="1">
      <c r="A127" s="7">
        <v>45733</v>
      </c>
      <c r="B127" t="s">
        <v>31</v>
      </c>
      <c r="C127">
        <v>1274</v>
      </c>
      <c r="D127">
        <v>146</v>
      </c>
      <c r="E127">
        <v>263488</v>
      </c>
      <c r="F127" s="20">
        <f t="shared" si="1"/>
        <v>311489.25</v>
      </c>
      <c r="G127">
        <f>task_2_unsplit_dataset[[#This Row],[Likes]]+task_2_unsplit_dataset[[#This Row],[Comments]]+task_2_unsplit_dataset[[#This Row],[Shares]]</f>
        <v>1917</v>
      </c>
    </row>
    <row r="128" spans="1:7" hidden="1">
      <c r="A128" s="7">
        <v>45740</v>
      </c>
      <c r="B128" t="s">
        <v>14</v>
      </c>
      <c r="C128">
        <v>818</v>
      </c>
      <c r="D128">
        <v>253</v>
      </c>
      <c r="E128">
        <v>184911</v>
      </c>
      <c r="F128" s="20">
        <f t="shared" si="1"/>
        <v>272529.5</v>
      </c>
      <c r="G128">
        <f>task_2_unsplit_dataset[[#This Row],[Likes]]+task_2_unsplit_dataset[[#This Row],[Comments]]+task_2_unsplit_dataset[[#This Row],[Shares]]</f>
        <v>2156</v>
      </c>
    </row>
    <row r="129" spans="1:7" hidden="1">
      <c r="A129" s="7">
        <v>45740</v>
      </c>
      <c r="B129" t="s">
        <v>24</v>
      </c>
      <c r="C129">
        <v>975</v>
      </c>
      <c r="D129">
        <v>162</v>
      </c>
      <c r="E129">
        <v>124497</v>
      </c>
      <c r="F129" s="20">
        <f t="shared" si="1"/>
        <v>229646</v>
      </c>
      <c r="G129">
        <f>task_2_unsplit_dataset[[#This Row],[Likes]]+task_2_unsplit_dataset[[#This Row],[Comments]]+task_2_unsplit_dataset[[#This Row],[Shares]]</f>
        <v>2363</v>
      </c>
    </row>
    <row r="130" spans="1:7" hidden="1">
      <c r="A130" s="7">
        <v>45740</v>
      </c>
      <c r="B130" t="s">
        <v>31</v>
      </c>
      <c r="C130">
        <v>1398</v>
      </c>
      <c r="D130">
        <v>97</v>
      </c>
      <c r="E130">
        <v>397607</v>
      </c>
      <c r="F130" s="20">
        <f t="shared" si="1"/>
        <v>242625.75</v>
      </c>
      <c r="G130">
        <f>task_2_unsplit_dataset[[#This Row],[Likes]]+task_2_unsplit_dataset[[#This Row],[Comments]]+task_2_unsplit_dataset[[#This Row],[Shares]]</f>
        <v>3682</v>
      </c>
    </row>
    <row r="131" spans="1:7" hidden="1">
      <c r="A131" s="7">
        <v>45747</v>
      </c>
      <c r="B131" t="s">
        <v>14</v>
      </c>
      <c r="C131">
        <v>591</v>
      </c>
      <c r="D131">
        <v>155</v>
      </c>
      <c r="E131">
        <v>138521</v>
      </c>
      <c r="F131" s="20">
        <f t="shared" si="1"/>
        <v>211384</v>
      </c>
      <c r="G131">
        <f>task_2_unsplit_dataset[[#This Row],[Likes]]+task_2_unsplit_dataset[[#This Row],[Comments]]+task_2_unsplit_dataset[[#This Row],[Shares]]</f>
        <v>2575</v>
      </c>
    </row>
    <row r="132" spans="1:7" hidden="1">
      <c r="A132" s="7">
        <v>45747</v>
      </c>
      <c r="B132" t="s">
        <v>24</v>
      </c>
      <c r="C132">
        <v>1232</v>
      </c>
      <c r="D132">
        <v>254</v>
      </c>
      <c r="E132">
        <v>107718</v>
      </c>
      <c r="F132" s="20">
        <f t="shared" si="1"/>
        <v>192085.75</v>
      </c>
      <c r="G132">
        <f>task_2_unsplit_dataset[[#This Row],[Likes]]+task_2_unsplit_dataset[[#This Row],[Comments]]+task_2_unsplit_dataset[[#This Row],[Shares]]</f>
        <v>4620</v>
      </c>
    </row>
    <row r="133" spans="1:7">
      <c r="A133" s="7">
        <v>45747</v>
      </c>
      <c r="B133" t="s">
        <v>31</v>
      </c>
      <c r="C133">
        <v>1425</v>
      </c>
      <c r="D133">
        <v>58</v>
      </c>
      <c r="E133">
        <v>202234</v>
      </c>
      <c r="F133" s="20">
        <f t="shared" si="1"/>
        <v>211520</v>
      </c>
      <c r="G133">
        <f>task_2_unsplit_dataset[[#This Row],[Likes]]+task_2_unsplit_dataset[[#This Row],[Comments]]+task_2_unsplit_dataset[[#This Row],[Shares]]</f>
        <v>2265</v>
      </c>
    </row>
    <row r="134" spans="1:7">
      <c r="A134" s="7">
        <v>45754</v>
      </c>
      <c r="B134" t="s">
        <v>14</v>
      </c>
      <c r="C134">
        <v>1417</v>
      </c>
      <c r="D134">
        <v>80</v>
      </c>
      <c r="E134">
        <v>340987</v>
      </c>
      <c r="F134" s="20">
        <f t="shared" ref="F134:F197" si="2">AVERAGE(E131:E134)</f>
        <v>197365</v>
      </c>
      <c r="G134">
        <f>task_2_unsplit_dataset[[#This Row],[Likes]]+task_2_unsplit_dataset[[#This Row],[Comments]]+task_2_unsplit_dataset[[#This Row],[Shares]]</f>
        <v>4274</v>
      </c>
    </row>
    <row r="135" spans="1:7" hidden="1">
      <c r="A135" s="7">
        <v>45754</v>
      </c>
      <c r="B135" t="s">
        <v>24</v>
      </c>
      <c r="C135">
        <v>1222</v>
      </c>
      <c r="D135">
        <v>208</v>
      </c>
      <c r="E135">
        <v>340098</v>
      </c>
      <c r="F135" s="20">
        <f t="shared" si="2"/>
        <v>247759.25</v>
      </c>
      <c r="G135">
        <f>task_2_unsplit_dataset[[#This Row],[Likes]]+task_2_unsplit_dataset[[#This Row],[Comments]]+task_2_unsplit_dataset[[#This Row],[Shares]]</f>
        <v>3233</v>
      </c>
    </row>
    <row r="136" spans="1:7" hidden="1">
      <c r="A136" s="7">
        <v>45754</v>
      </c>
      <c r="B136" t="s">
        <v>31</v>
      </c>
      <c r="C136">
        <v>1071</v>
      </c>
      <c r="D136">
        <v>131</v>
      </c>
      <c r="E136">
        <v>254727</v>
      </c>
      <c r="F136" s="20">
        <f t="shared" si="2"/>
        <v>284511.5</v>
      </c>
      <c r="G136">
        <f>task_2_unsplit_dataset[[#This Row],[Likes]]+task_2_unsplit_dataset[[#This Row],[Comments]]+task_2_unsplit_dataset[[#This Row],[Shares]]</f>
        <v>2993</v>
      </c>
    </row>
    <row r="137" spans="1:7" hidden="1">
      <c r="A137" s="7">
        <v>45761</v>
      </c>
      <c r="B137" t="s">
        <v>14</v>
      </c>
      <c r="C137">
        <v>772</v>
      </c>
      <c r="D137">
        <v>82</v>
      </c>
      <c r="E137">
        <v>345659</v>
      </c>
      <c r="F137" s="20">
        <f t="shared" si="2"/>
        <v>320367.75</v>
      </c>
      <c r="G137">
        <f>task_2_unsplit_dataset[[#This Row],[Likes]]+task_2_unsplit_dataset[[#This Row],[Comments]]+task_2_unsplit_dataset[[#This Row],[Shares]]</f>
        <v>4273</v>
      </c>
    </row>
    <row r="138" spans="1:7">
      <c r="A138" s="7">
        <v>45761</v>
      </c>
      <c r="B138" t="s">
        <v>24</v>
      </c>
      <c r="C138">
        <v>1472</v>
      </c>
      <c r="D138">
        <v>137</v>
      </c>
      <c r="E138">
        <v>213950</v>
      </c>
      <c r="F138" s="20">
        <f t="shared" si="2"/>
        <v>288608.5</v>
      </c>
      <c r="G138">
        <f>task_2_unsplit_dataset[[#This Row],[Likes]]+task_2_unsplit_dataset[[#This Row],[Comments]]+task_2_unsplit_dataset[[#This Row],[Shares]]</f>
        <v>2858</v>
      </c>
    </row>
    <row r="139" spans="1:7">
      <c r="A139" s="7">
        <v>45761</v>
      </c>
      <c r="B139" t="s">
        <v>31</v>
      </c>
      <c r="C139">
        <v>1472</v>
      </c>
      <c r="D139">
        <v>281</v>
      </c>
      <c r="E139">
        <v>258115</v>
      </c>
      <c r="F139" s="20">
        <f t="shared" si="2"/>
        <v>268112.75</v>
      </c>
      <c r="G139">
        <f>task_2_unsplit_dataset[[#This Row],[Likes]]+task_2_unsplit_dataset[[#This Row],[Comments]]+task_2_unsplit_dataset[[#This Row],[Shares]]</f>
        <v>3424</v>
      </c>
    </row>
    <row r="140" spans="1:7" hidden="1">
      <c r="A140" s="7">
        <v>45768</v>
      </c>
      <c r="B140" t="s">
        <v>14</v>
      </c>
      <c r="C140">
        <v>585</v>
      </c>
      <c r="D140">
        <v>232</v>
      </c>
      <c r="E140">
        <v>321258</v>
      </c>
      <c r="F140" s="20">
        <f t="shared" si="2"/>
        <v>284745.5</v>
      </c>
      <c r="G140">
        <f>task_2_unsplit_dataset[[#This Row],[Likes]]+task_2_unsplit_dataset[[#This Row],[Comments]]+task_2_unsplit_dataset[[#This Row],[Shares]]</f>
        <v>3916</v>
      </c>
    </row>
    <row r="141" spans="1:7" hidden="1">
      <c r="A141" s="7">
        <v>45768</v>
      </c>
      <c r="B141" t="s">
        <v>24</v>
      </c>
      <c r="C141">
        <v>747</v>
      </c>
      <c r="D141">
        <v>261</v>
      </c>
      <c r="E141">
        <v>338650</v>
      </c>
      <c r="F141" s="20">
        <f t="shared" si="2"/>
        <v>282993.25</v>
      </c>
      <c r="G141">
        <f>task_2_unsplit_dataset[[#This Row],[Likes]]+task_2_unsplit_dataset[[#This Row],[Comments]]+task_2_unsplit_dataset[[#This Row],[Shares]]</f>
        <v>3411</v>
      </c>
    </row>
    <row r="142" spans="1:7" hidden="1">
      <c r="A142" s="7">
        <v>45768</v>
      </c>
      <c r="B142" t="s">
        <v>31</v>
      </c>
      <c r="C142">
        <v>1113</v>
      </c>
      <c r="D142">
        <v>224</v>
      </c>
      <c r="E142">
        <v>272989</v>
      </c>
      <c r="F142" s="20">
        <f t="shared" si="2"/>
        <v>297753</v>
      </c>
      <c r="G142">
        <f>task_2_unsplit_dataset[[#This Row],[Likes]]+task_2_unsplit_dataset[[#This Row],[Comments]]+task_2_unsplit_dataset[[#This Row],[Shares]]</f>
        <v>3035</v>
      </c>
    </row>
    <row r="143" spans="1:7" hidden="1">
      <c r="A143" s="7">
        <v>45775</v>
      </c>
      <c r="B143" t="s">
        <v>14</v>
      </c>
      <c r="C143">
        <v>1100</v>
      </c>
      <c r="D143">
        <v>117</v>
      </c>
      <c r="E143">
        <v>260204</v>
      </c>
      <c r="F143" s="20">
        <f t="shared" si="2"/>
        <v>298275.25</v>
      </c>
      <c r="G143">
        <f>task_2_unsplit_dataset[[#This Row],[Likes]]+task_2_unsplit_dataset[[#This Row],[Comments]]+task_2_unsplit_dataset[[#This Row],[Shares]]</f>
        <v>2530</v>
      </c>
    </row>
    <row r="144" spans="1:7" hidden="1">
      <c r="A144" s="7">
        <v>45775</v>
      </c>
      <c r="B144" t="s">
        <v>24</v>
      </c>
      <c r="C144">
        <v>751</v>
      </c>
      <c r="D144">
        <v>170</v>
      </c>
      <c r="E144">
        <v>283278</v>
      </c>
      <c r="F144" s="20">
        <f t="shared" si="2"/>
        <v>288780.25</v>
      </c>
      <c r="G144">
        <f>task_2_unsplit_dataset[[#This Row],[Likes]]+task_2_unsplit_dataset[[#This Row],[Comments]]+task_2_unsplit_dataset[[#This Row],[Shares]]</f>
        <v>2547</v>
      </c>
    </row>
    <row r="145" spans="1:7" hidden="1">
      <c r="A145" s="7">
        <v>45775</v>
      </c>
      <c r="B145" t="s">
        <v>31</v>
      </c>
      <c r="C145">
        <v>864</v>
      </c>
      <c r="D145">
        <v>50</v>
      </c>
      <c r="E145">
        <v>277445</v>
      </c>
      <c r="F145" s="20">
        <f t="shared" si="2"/>
        <v>273479</v>
      </c>
      <c r="G145">
        <f>task_2_unsplit_dataset[[#This Row],[Likes]]+task_2_unsplit_dataset[[#This Row],[Comments]]+task_2_unsplit_dataset[[#This Row],[Shares]]</f>
        <v>4627</v>
      </c>
    </row>
    <row r="146" spans="1:7" hidden="1">
      <c r="A146" s="7">
        <v>45782</v>
      </c>
      <c r="B146" t="s">
        <v>14</v>
      </c>
      <c r="C146">
        <v>1146</v>
      </c>
      <c r="D146">
        <v>227</v>
      </c>
      <c r="E146">
        <v>353781</v>
      </c>
      <c r="F146" s="20">
        <f t="shared" si="2"/>
        <v>293677</v>
      </c>
      <c r="G146">
        <f>task_2_unsplit_dataset[[#This Row],[Likes]]+task_2_unsplit_dataset[[#This Row],[Comments]]+task_2_unsplit_dataset[[#This Row],[Shares]]</f>
        <v>2466</v>
      </c>
    </row>
    <row r="147" spans="1:7" hidden="1">
      <c r="A147" s="7">
        <v>45782</v>
      </c>
      <c r="B147" t="s">
        <v>24</v>
      </c>
      <c r="C147">
        <v>883</v>
      </c>
      <c r="D147">
        <v>207</v>
      </c>
      <c r="E147">
        <v>265019</v>
      </c>
      <c r="F147" s="20">
        <f t="shared" si="2"/>
        <v>294880.75</v>
      </c>
      <c r="G147">
        <f>task_2_unsplit_dataset[[#This Row],[Likes]]+task_2_unsplit_dataset[[#This Row],[Comments]]+task_2_unsplit_dataset[[#This Row],[Shares]]</f>
        <v>3877</v>
      </c>
    </row>
    <row r="148" spans="1:7" hidden="1">
      <c r="A148" s="7">
        <v>45782</v>
      </c>
      <c r="B148" t="s">
        <v>31</v>
      </c>
      <c r="C148">
        <v>622</v>
      </c>
      <c r="D148">
        <v>163</v>
      </c>
      <c r="E148">
        <v>231925</v>
      </c>
      <c r="F148" s="20">
        <f t="shared" si="2"/>
        <v>282042.5</v>
      </c>
      <c r="G148">
        <f>task_2_unsplit_dataset[[#This Row],[Likes]]+task_2_unsplit_dataset[[#This Row],[Comments]]+task_2_unsplit_dataset[[#This Row],[Shares]]</f>
        <v>5036</v>
      </c>
    </row>
    <row r="149" spans="1:7" hidden="1">
      <c r="A149" s="7">
        <v>45789</v>
      </c>
      <c r="B149" t="s">
        <v>14</v>
      </c>
      <c r="C149">
        <v>837</v>
      </c>
      <c r="D149">
        <v>261</v>
      </c>
      <c r="E149">
        <v>366149</v>
      </c>
      <c r="F149" s="20">
        <f t="shared" si="2"/>
        <v>304218.5</v>
      </c>
      <c r="G149">
        <f>task_2_unsplit_dataset[[#This Row],[Likes]]+task_2_unsplit_dataset[[#This Row],[Comments]]+task_2_unsplit_dataset[[#This Row],[Shares]]</f>
        <v>2020</v>
      </c>
    </row>
    <row r="150" spans="1:7" hidden="1">
      <c r="A150" s="7">
        <v>45789</v>
      </c>
      <c r="B150" t="s">
        <v>24</v>
      </c>
      <c r="C150">
        <v>544</v>
      </c>
      <c r="D150">
        <v>97</v>
      </c>
      <c r="E150">
        <v>168375</v>
      </c>
      <c r="F150" s="20">
        <f t="shared" si="2"/>
        <v>257867</v>
      </c>
      <c r="G150">
        <f>task_2_unsplit_dataset[[#This Row],[Likes]]+task_2_unsplit_dataset[[#This Row],[Comments]]+task_2_unsplit_dataset[[#This Row],[Shares]]</f>
        <v>3152</v>
      </c>
    </row>
    <row r="151" spans="1:7" hidden="1">
      <c r="A151" s="7">
        <v>45789</v>
      </c>
      <c r="B151" t="s">
        <v>31</v>
      </c>
      <c r="C151">
        <v>624</v>
      </c>
      <c r="D151">
        <v>247</v>
      </c>
      <c r="E151">
        <v>252763</v>
      </c>
      <c r="F151" s="20">
        <f t="shared" si="2"/>
        <v>254803</v>
      </c>
      <c r="G151">
        <f>task_2_unsplit_dataset[[#This Row],[Likes]]+task_2_unsplit_dataset[[#This Row],[Comments]]+task_2_unsplit_dataset[[#This Row],[Shares]]</f>
        <v>4219</v>
      </c>
    </row>
    <row r="152" spans="1:7" hidden="1">
      <c r="A152" s="7">
        <v>45796</v>
      </c>
      <c r="B152" t="s">
        <v>14</v>
      </c>
      <c r="C152">
        <v>1073</v>
      </c>
      <c r="D152">
        <v>141</v>
      </c>
      <c r="E152">
        <v>118393</v>
      </c>
      <c r="F152" s="20">
        <f t="shared" si="2"/>
        <v>226420</v>
      </c>
      <c r="G152">
        <f>task_2_unsplit_dataset[[#This Row],[Likes]]+task_2_unsplit_dataset[[#This Row],[Comments]]+task_2_unsplit_dataset[[#This Row],[Shares]]</f>
        <v>3147</v>
      </c>
    </row>
    <row r="153" spans="1:7">
      <c r="A153" s="7">
        <v>45796</v>
      </c>
      <c r="B153" t="s">
        <v>24</v>
      </c>
      <c r="C153">
        <v>1430</v>
      </c>
      <c r="D153">
        <v>74</v>
      </c>
      <c r="E153">
        <v>327012</v>
      </c>
      <c r="F153" s="20">
        <f t="shared" si="2"/>
        <v>216635.75</v>
      </c>
      <c r="G153">
        <f>task_2_unsplit_dataset[[#This Row],[Likes]]+task_2_unsplit_dataset[[#This Row],[Comments]]+task_2_unsplit_dataset[[#This Row],[Shares]]</f>
        <v>2570</v>
      </c>
    </row>
    <row r="154" spans="1:7" hidden="1">
      <c r="A154" s="7">
        <v>45796</v>
      </c>
      <c r="B154" t="s">
        <v>31</v>
      </c>
      <c r="C154">
        <v>1358</v>
      </c>
      <c r="D154">
        <v>77</v>
      </c>
      <c r="E154">
        <v>169688</v>
      </c>
      <c r="F154" s="20">
        <f t="shared" si="2"/>
        <v>216964</v>
      </c>
      <c r="G154">
        <f>task_2_unsplit_dataset[[#This Row],[Likes]]+task_2_unsplit_dataset[[#This Row],[Comments]]+task_2_unsplit_dataset[[#This Row],[Shares]]</f>
        <v>5303</v>
      </c>
    </row>
    <row r="155" spans="1:7" hidden="1">
      <c r="A155" s="7">
        <v>45803</v>
      </c>
      <c r="B155" t="s">
        <v>14</v>
      </c>
      <c r="C155">
        <v>1242</v>
      </c>
      <c r="D155">
        <v>201</v>
      </c>
      <c r="E155">
        <v>271935</v>
      </c>
      <c r="F155" s="20">
        <f t="shared" si="2"/>
        <v>221757</v>
      </c>
      <c r="G155">
        <f>task_2_unsplit_dataset[[#This Row],[Likes]]+task_2_unsplit_dataset[[#This Row],[Comments]]+task_2_unsplit_dataset[[#This Row],[Shares]]</f>
        <v>5320</v>
      </c>
    </row>
    <row r="156" spans="1:7" hidden="1">
      <c r="A156" s="7">
        <v>45803</v>
      </c>
      <c r="B156" t="s">
        <v>24</v>
      </c>
      <c r="C156">
        <v>1389</v>
      </c>
      <c r="D156">
        <v>205</v>
      </c>
      <c r="E156">
        <v>315981</v>
      </c>
      <c r="F156" s="20">
        <f t="shared" si="2"/>
        <v>271154</v>
      </c>
      <c r="G156">
        <f>task_2_unsplit_dataset[[#This Row],[Likes]]+task_2_unsplit_dataset[[#This Row],[Comments]]+task_2_unsplit_dataset[[#This Row],[Shares]]</f>
        <v>3383</v>
      </c>
    </row>
    <row r="157" spans="1:7" hidden="1">
      <c r="A157" s="7">
        <v>45803</v>
      </c>
      <c r="B157" t="s">
        <v>31</v>
      </c>
      <c r="C157">
        <v>826</v>
      </c>
      <c r="D157">
        <v>142</v>
      </c>
      <c r="E157">
        <v>341016</v>
      </c>
      <c r="F157" s="20">
        <f t="shared" si="2"/>
        <v>274655</v>
      </c>
      <c r="G157">
        <f>task_2_unsplit_dataset[[#This Row],[Likes]]+task_2_unsplit_dataset[[#This Row],[Comments]]+task_2_unsplit_dataset[[#This Row],[Shares]]</f>
        <v>2727</v>
      </c>
    </row>
    <row r="158" spans="1:7" hidden="1">
      <c r="A158" s="7">
        <v>45810</v>
      </c>
      <c r="B158" t="s">
        <v>14</v>
      </c>
      <c r="C158">
        <v>618</v>
      </c>
      <c r="D158">
        <v>264</v>
      </c>
      <c r="E158">
        <v>285164</v>
      </c>
      <c r="F158" s="20">
        <f t="shared" si="2"/>
        <v>303524</v>
      </c>
      <c r="G158">
        <f>task_2_unsplit_dataset[[#This Row],[Likes]]+task_2_unsplit_dataset[[#This Row],[Comments]]+task_2_unsplit_dataset[[#This Row],[Shares]]</f>
        <v>3731</v>
      </c>
    </row>
    <row r="159" spans="1:7">
      <c r="A159" s="7">
        <v>45810</v>
      </c>
      <c r="B159" t="s">
        <v>24</v>
      </c>
      <c r="C159">
        <v>1419</v>
      </c>
      <c r="D159">
        <v>293</v>
      </c>
      <c r="E159">
        <v>116632</v>
      </c>
      <c r="F159" s="20">
        <f t="shared" si="2"/>
        <v>264698.25</v>
      </c>
      <c r="G159">
        <f>task_2_unsplit_dataset[[#This Row],[Likes]]+task_2_unsplit_dataset[[#This Row],[Comments]]+task_2_unsplit_dataset[[#This Row],[Shares]]</f>
        <v>5593</v>
      </c>
    </row>
    <row r="160" spans="1:7" hidden="1">
      <c r="A160" s="7">
        <v>45810</v>
      </c>
      <c r="B160" t="s">
        <v>31</v>
      </c>
      <c r="C160">
        <v>637</v>
      </c>
      <c r="D160">
        <v>68</v>
      </c>
      <c r="E160">
        <v>115694</v>
      </c>
      <c r="F160" s="20">
        <f t="shared" si="2"/>
        <v>214626.5</v>
      </c>
      <c r="G160">
        <f>task_2_unsplit_dataset[[#This Row],[Likes]]+task_2_unsplit_dataset[[#This Row],[Comments]]+task_2_unsplit_dataset[[#This Row],[Shares]]</f>
        <v>2702</v>
      </c>
    </row>
    <row r="161" spans="1:7" hidden="1">
      <c r="A161" s="7">
        <v>45817</v>
      </c>
      <c r="B161" t="s">
        <v>14</v>
      </c>
      <c r="C161">
        <v>917</v>
      </c>
      <c r="D161">
        <v>187</v>
      </c>
      <c r="E161">
        <v>64444</v>
      </c>
      <c r="F161" s="20">
        <f t="shared" si="2"/>
        <v>145483.5</v>
      </c>
      <c r="G161">
        <f>task_2_unsplit_dataset[[#This Row],[Likes]]+task_2_unsplit_dataset[[#This Row],[Comments]]+task_2_unsplit_dataset[[#This Row],[Shares]]</f>
        <v>2685</v>
      </c>
    </row>
    <row r="162" spans="1:7" hidden="1">
      <c r="A162" s="7">
        <v>45817</v>
      </c>
      <c r="B162" t="s">
        <v>24</v>
      </c>
      <c r="C162">
        <v>810</v>
      </c>
      <c r="D162">
        <v>232</v>
      </c>
      <c r="E162">
        <v>362559</v>
      </c>
      <c r="F162" s="20">
        <f t="shared" si="2"/>
        <v>164832.25</v>
      </c>
      <c r="G162">
        <f>task_2_unsplit_dataset[[#This Row],[Likes]]+task_2_unsplit_dataset[[#This Row],[Comments]]+task_2_unsplit_dataset[[#This Row],[Shares]]</f>
        <v>2712</v>
      </c>
    </row>
    <row r="163" spans="1:7" hidden="1">
      <c r="A163" s="7">
        <v>45817</v>
      </c>
      <c r="B163" t="s">
        <v>31</v>
      </c>
      <c r="C163">
        <v>1183</v>
      </c>
      <c r="D163">
        <v>248</v>
      </c>
      <c r="E163">
        <v>226881</v>
      </c>
      <c r="F163" s="20">
        <f t="shared" si="2"/>
        <v>192394.5</v>
      </c>
      <c r="G163">
        <f>task_2_unsplit_dataset[[#This Row],[Likes]]+task_2_unsplit_dataset[[#This Row],[Comments]]+task_2_unsplit_dataset[[#This Row],[Shares]]</f>
        <v>4545</v>
      </c>
    </row>
    <row r="164" spans="1:7" hidden="1">
      <c r="A164" s="7">
        <v>45824</v>
      </c>
      <c r="B164" t="s">
        <v>14</v>
      </c>
      <c r="C164">
        <v>765</v>
      </c>
      <c r="D164">
        <v>67</v>
      </c>
      <c r="E164">
        <v>283537</v>
      </c>
      <c r="F164" s="20">
        <f t="shared" si="2"/>
        <v>234355.25</v>
      </c>
      <c r="G164">
        <f>task_2_unsplit_dataset[[#This Row],[Likes]]+task_2_unsplit_dataset[[#This Row],[Comments]]+task_2_unsplit_dataset[[#This Row],[Shares]]</f>
        <v>2424</v>
      </c>
    </row>
    <row r="165" spans="1:7" hidden="1">
      <c r="A165" s="7">
        <v>45824</v>
      </c>
      <c r="B165" t="s">
        <v>24</v>
      </c>
      <c r="C165">
        <v>540</v>
      </c>
      <c r="D165">
        <v>215</v>
      </c>
      <c r="E165">
        <v>62837</v>
      </c>
      <c r="F165" s="20">
        <f t="shared" si="2"/>
        <v>233953.5</v>
      </c>
      <c r="G165">
        <f>task_2_unsplit_dataset[[#This Row],[Likes]]+task_2_unsplit_dataset[[#This Row],[Comments]]+task_2_unsplit_dataset[[#This Row],[Shares]]</f>
        <v>1746</v>
      </c>
    </row>
    <row r="166" spans="1:7" hidden="1">
      <c r="A166" s="7">
        <v>45824</v>
      </c>
      <c r="B166" t="s">
        <v>31</v>
      </c>
      <c r="C166">
        <v>1145</v>
      </c>
      <c r="D166">
        <v>151</v>
      </c>
      <c r="E166">
        <v>182759</v>
      </c>
      <c r="F166" s="20">
        <f t="shared" si="2"/>
        <v>189003.5</v>
      </c>
      <c r="G166">
        <f>task_2_unsplit_dataset[[#This Row],[Likes]]+task_2_unsplit_dataset[[#This Row],[Comments]]+task_2_unsplit_dataset[[#This Row],[Shares]]</f>
        <v>4207</v>
      </c>
    </row>
    <row r="167" spans="1:7" hidden="1">
      <c r="A167" s="7">
        <v>45831</v>
      </c>
      <c r="B167" t="s">
        <v>14</v>
      </c>
      <c r="C167">
        <v>564</v>
      </c>
      <c r="D167">
        <v>244</v>
      </c>
      <c r="E167">
        <v>279405</v>
      </c>
      <c r="F167" s="20">
        <f t="shared" si="2"/>
        <v>202134.5</v>
      </c>
      <c r="G167">
        <f>task_2_unsplit_dataset[[#This Row],[Likes]]+task_2_unsplit_dataset[[#This Row],[Comments]]+task_2_unsplit_dataset[[#This Row],[Shares]]</f>
        <v>3793</v>
      </c>
    </row>
    <row r="168" spans="1:7" hidden="1">
      <c r="A168" s="7">
        <v>45831</v>
      </c>
      <c r="B168" t="s">
        <v>24</v>
      </c>
      <c r="C168">
        <v>668</v>
      </c>
      <c r="D168">
        <v>124</v>
      </c>
      <c r="E168">
        <v>257485</v>
      </c>
      <c r="F168" s="20">
        <f t="shared" si="2"/>
        <v>195621.5</v>
      </c>
      <c r="G168">
        <f>task_2_unsplit_dataset[[#This Row],[Likes]]+task_2_unsplit_dataset[[#This Row],[Comments]]+task_2_unsplit_dataset[[#This Row],[Shares]]</f>
        <v>3253</v>
      </c>
    </row>
    <row r="169" spans="1:7" hidden="1">
      <c r="A169" s="7">
        <v>45831</v>
      </c>
      <c r="B169" t="s">
        <v>31</v>
      </c>
      <c r="C169">
        <v>761</v>
      </c>
      <c r="D169">
        <v>241</v>
      </c>
      <c r="E169">
        <v>154977</v>
      </c>
      <c r="F169" s="20">
        <f t="shared" si="2"/>
        <v>218656.5</v>
      </c>
      <c r="G169">
        <f>task_2_unsplit_dataset[[#This Row],[Likes]]+task_2_unsplit_dataset[[#This Row],[Comments]]+task_2_unsplit_dataset[[#This Row],[Shares]]</f>
        <v>2996</v>
      </c>
    </row>
    <row r="170" spans="1:7" hidden="1">
      <c r="A170" s="7">
        <v>45838</v>
      </c>
      <c r="B170" t="s">
        <v>14</v>
      </c>
      <c r="C170">
        <v>593</v>
      </c>
      <c r="D170">
        <v>108</v>
      </c>
      <c r="E170">
        <v>216500</v>
      </c>
      <c r="F170" s="20">
        <f t="shared" si="2"/>
        <v>227091.75</v>
      </c>
      <c r="G170">
        <f>task_2_unsplit_dataset[[#This Row],[Likes]]+task_2_unsplit_dataset[[#This Row],[Comments]]+task_2_unsplit_dataset[[#This Row],[Shares]]</f>
        <v>1853</v>
      </c>
    </row>
    <row r="171" spans="1:7" hidden="1">
      <c r="A171" s="7">
        <v>45838</v>
      </c>
      <c r="B171" t="s">
        <v>24</v>
      </c>
      <c r="C171">
        <v>1349</v>
      </c>
      <c r="D171">
        <v>115</v>
      </c>
      <c r="E171">
        <v>102102</v>
      </c>
      <c r="F171" s="20">
        <f t="shared" si="2"/>
        <v>182766</v>
      </c>
      <c r="G171">
        <f>task_2_unsplit_dataset[[#This Row],[Likes]]+task_2_unsplit_dataset[[#This Row],[Comments]]+task_2_unsplit_dataset[[#This Row],[Shares]]</f>
        <v>2063</v>
      </c>
    </row>
    <row r="172" spans="1:7" hidden="1">
      <c r="A172" s="7">
        <v>45838</v>
      </c>
      <c r="B172" t="s">
        <v>31</v>
      </c>
      <c r="C172">
        <v>693</v>
      </c>
      <c r="D172">
        <v>97</v>
      </c>
      <c r="E172">
        <v>92025</v>
      </c>
      <c r="F172" s="20">
        <f t="shared" si="2"/>
        <v>141401</v>
      </c>
      <c r="G172">
        <f>task_2_unsplit_dataset[[#This Row],[Likes]]+task_2_unsplit_dataset[[#This Row],[Comments]]+task_2_unsplit_dataset[[#This Row],[Shares]]</f>
        <v>4604</v>
      </c>
    </row>
    <row r="173" spans="1:7" hidden="1">
      <c r="A173" s="7">
        <v>45845</v>
      </c>
      <c r="B173" t="s">
        <v>14</v>
      </c>
      <c r="C173">
        <v>974</v>
      </c>
      <c r="D173">
        <v>143</v>
      </c>
      <c r="E173">
        <v>247965</v>
      </c>
      <c r="F173" s="20">
        <f t="shared" si="2"/>
        <v>164648</v>
      </c>
      <c r="G173">
        <f>task_2_unsplit_dataset[[#This Row],[Likes]]+task_2_unsplit_dataset[[#This Row],[Comments]]+task_2_unsplit_dataset[[#This Row],[Shares]]</f>
        <v>5124</v>
      </c>
    </row>
    <row r="174" spans="1:7" hidden="1">
      <c r="A174" s="7">
        <v>45845</v>
      </c>
      <c r="B174" t="s">
        <v>24</v>
      </c>
      <c r="C174">
        <v>1155</v>
      </c>
      <c r="D174">
        <v>122</v>
      </c>
      <c r="E174">
        <v>387352</v>
      </c>
      <c r="F174" s="20">
        <f t="shared" si="2"/>
        <v>207361</v>
      </c>
      <c r="G174">
        <f>task_2_unsplit_dataset[[#This Row],[Likes]]+task_2_unsplit_dataset[[#This Row],[Comments]]+task_2_unsplit_dataset[[#This Row],[Shares]]</f>
        <v>3642</v>
      </c>
    </row>
    <row r="175" spans="1:7" hidden="1">
      <c r="A175" s="7">
        <v>45845</v>
      </c>
      <c r="B175" t="s">
        <v>31</v>
      </c>
      <c r="C175">
        <v>1051</v>
      </c>
      <c r="D175">
        <v>246</v>
      </c>
      <c r="E175">
        <v>253985</v>
      </c>
      <c r="F175" s="20">
        <f t="shared" si="2"/>
        <v>245331.75</v>
      </c>
      <c r="G175">
        <f>task_2_unsplit_dataset[[#This Row],[Likes]]+task_2_unsplit_dataset[[#This Row],[Comments]]+task_2_unsplit_dataset[[#This Row],[Shares]]</f>
        <v>2112</v>
      </c>
    </row>
    <row r="176" spans="1:7">
      <c r="A176" s="7">
        <v>45852</v>
      </c>
      <c r="B176" t="s">
        <v>14</v>
      </c>
      <c r="C176">
        <v>1457</v>
      </c>
      <c r="D176">
        <v>183</v>
      </c>
      <c r="E176">
        <v>129640</v>
      </c>
      <c r="F176" s="20">
        <f t="shared" si="2"/>
        <v>254735.5</v>
      </c>
      <c r="G176">
        <f>task_2_unsplit_dataset[[#This Row],[Likes]]+task_2_unsplit_dataset[[#This Row],[Comments]]+task_2_unsplit_dataset[[#This Row],[Shares]]</f>
        <v>1837</v>
      </c>
    </row>
    <row r="177" spans="1:7" hidden="1">
      <c r="A177" s="7">
        <v>45852</v>
      </c>
      <c r="B177" t="s">
        <v>24</v>
      </c>
      <c r="C177">
        <v>670</v>
      </c>
      <c r="D177">
        <v>242</v>
      </c>
      <c r="E177">
        <v>281913</v>
      </c>
      <c r="F177" s="20">
        <f t="shared" si="2"/>
        <v>263222.5</v>
      </c>
      <c r="G177">
        <f>task_2_unsplit_dataset[[#This Row],[Likes]]+task_2_unsplit_dataset[[#This Row],[Comments]]+task_2_unsplit_dataset[[#This Row],[Shares]]</f>
        <v>2914</v>
      </c>
    </row>
    <row r="178" spans="1:7" hidden="1">
      <c r="A178" s="7">
        <v>45852</v>
      </c>
      <c r="B178" t="s">
        <v>31</v>
      </c>
      <c r="C178">
        <v>1111</v>
      </c>
      <c r="D178">
        <v>159</v>
      </c>
      <c r="E178">
        <v>360770</v>
      </c>
      <c r="F178" s="20">
        <f t="shared" si="2"/>
        <v>256577</v>
      </c>
      <c r="G178">
        <f>task_2_unsplit_dataset[[#This Row],[Likes]]+task_2_unsplit_dataset[[#This Row],[Comments]]+task_2_unsplit_dataset[[#This Row],[Shares]]</f>
        <v>2560</v>
      </c>
    </row>
    <row r="179" spans="1:7" hidden="1">
      <c r="A179" s="7">
        <v>45859</v>
      </c>
      <c r="B179" t="s">
        <v>14</v>
      </c>
      <c r="C179">
        <v>1197</v>
      </c>
      <c r="D179">
        <v>246</v>
      </c>
      <c r="E179">
        <v>127273</v>
      </c>
      <c r="F179" s="20">
        <f t="shared" si="2"/>
        <v>224899</v>
      </c>
      <c r="G179">
        <f>task_2_unsplit_dataset[[#This Row],[Likes]]+task_2_unsplit_dataset[[#This Row],[Comments]]+task_2_unsplit_dataset[[#This Row],[Shares]]</f>
        <v>4422</v>
      </c>
    </row>
    <row r="180" spans="1:7" hidden="1">
      <c r="A180" s="7">
        <v>45859</v>
      </c>
      <c r="B180" t="s">
        <v>24</v>
      </c>
      <c r="C180">
        <v>754</v>
      </c>
      <c r="D180">
        <v>150</v>
      </c>
      <c r="E180">
        <v>189622</v>
      </c>
      <c r="F180" s="20">
        <f t="shared" si="2"/>
        <v>239894.5</v>
      </c>
      <c r="G180">
        <f>task_2_unsplit_dataset[[#This Row],[Likes]]+task_2_unsplit_dataset[[#This Row],[Comments]]+task_2_unsplit_dataset[[#This Row],[Shares]]</f>
        <v>5700</v>
      </c>
    </row>
    <row r="181" spans="1:7" hidden="1">
      <c r="A181" s="7">
        <v>45859</v>
      </c>
      <c r="B181" t="s">
        <v>31</v>
      </c>
      <c r="C181">
        <v>1246</v>
      </c>
      <c r="D181">
        <v>107</v>
      </c>
      <c r="E181">
        <v>350949</v>
      </c>
      <c r="F181" s="20">
        <f t="shared" si="2"/>
        <v>257153.5</v>
      </c>
      <c r="G181">
        <f>task_2_unsplit_dataset[[#This Row],[Likes]]+task_2_unsplit_dataset[[#This Row],[Comments]]+task_2_unsplit_dataset[[#This Row],[Shares]]</f>
        <v>3010</v>
      </c>
    </row>
    <row r="182" spans="1:7" hidden="1">
      <c r="A182" s="7">
        <v>45866</v>
      </c>
      <c r="B182" t="s">
        <v>14</v>
      </c>
      <c r="C182">
        <v>780</v>
      </c>
      <c r="D182">
        <v>213</v>
      </c>
      <c r="E182">
        <v>121431</v>
      </c>
      <c r="F182" s="20">
        <f t="shared" si="2"/>
        <v>197318.75</v>
      </c>
      <c r="G182">
        <f>task_2_unsplit_dataset[[#This Row],[Likes]]+task_2_unsplit_dataset[[#This Row],[Comments]]+task_2_unsplit_dataset[[#This Row],[Shares]]</f>
        <v>1960</v>
      </c>
    </row>
    <row r="183" spans="1:7">
      <c r="A183" s="7">
        <v>45866</v>
      </c>
      <c r="B183" t="s">
        <v>24</v>
      </c>
      <c r="C183">
        <v>1425</v>
      </c>
      <c r="D183">
        <v>143</v>
      </c>
      <c r="E183">
        <v>116742</v>
      </c>
      <c r="F183" s="20">
        <f t="shared" si="2"/>
        <v>194686</v>
      </c>
      <c r="G183">
        <f>task_2_unsplit_dataset[[#This Row],[Likes]]+task_2_unsplit_dataset[[#This Row],[Comments]]+task_2_unsplit_dataset[[#This Row],[Shares]]</f>
        <v>2325</v>
      </c>
    </row>
    <row r="184" spans="1:7">
      <c r="A184" s="7">
        <v>45866</v>
      </c>
      <c r="B184" t="s">
        <v>31</v>
      </c>
      <c r="C184">
        <v>1490</v>
      </c>
      <c r="D184">
        <v>103</v>
      </c>
      <c r="E184">
        <v>81184</v>
      </c>
      <c r="F184" s="20">
        <f t="shared" si="2"/>
        <v>167576.5</v>
      </c>
      <c r="G184">
        <f>task_2_unsplit_dataset[[#This Row],[Likes]]+task_2_unsplit_dataset[[#This Row],[Comments]]+task_2_unsplit_dataset[[#This Row],[Shares]]</f>
        <v>5507</v>
      </c>
    </row>
    <row r="185" spans="1:7" hidden="1">
      <c r="A185" s="7">
        <v>45873</v>
      </c>
      <c r="B185" t="s">
        <v>14</v>
      </c>
      <c r="C185">
        <v>949</v>
      </c>
      <c r="D185">
        <v>282</v>
      </c>
      <c r="E185">
        <v>87126</v>
      </c>
      <c r="F185" s="20">
        <f t="shared" si="2"/>
        <v>101620.75</v>
      </c>
      <c r="G185">
        <f>task_2_unsplit_dataset[[#This Row],[Likes]]+task_2_unsplit_dataset[[#This Row],[Comments]]+task_2_unsplit_dataset[[#This Row],[Shares]]</f>
        <v>2867</v>
      </c>
    </row>
    <row r="186" spans="1:7" hidden="1">
      <c r="A186" s="7">
        <v>45873</v>
      </c>
      <c r="B186" t="s">
        <v>24</v>
      </c>
      <c r="C186">
        <v>640</v>
      </c>
      <c r="D186">
        <v>141</v>
      </c>
      <c r="E186">
        <v>267546</v>
      </c>
      <c r="F186" s="20">
        <f t="shared" si="2"/>
        <v>138149.5</v>
      </c>
      <c r="G186">
        <f>task_2_unsplit_dataset[[#This Row],[Likes]]+task_2_unsplit_dataset[[#This Row],[Comments]]+task_2_unsplit_dataset[[#This Row],[Shares]]</f>
        <v>3350</v>
      </c>
    </row>
    <row r="187" spans="1:7" hidden="1">
      <c r="A187" s="7">
        <v>45873</v>
      </c>
      <c r="B187" t="s">
        <v>31</v>
      </c>
      <c r="C187">
        <v>616</v>
      </c>
      <c r="D187">
        <v>93</v>
      </c>
      <c r="E187">
        <v>133082</v>
      </c>
      <c r="F187" s="20">
        <f t="shared" si="2"/>
        <v>142234.5</v>
      </c>
      <c r="G187">
        <f>task_2_unsplit_dataset[[#This Row],[Likes]]+task_2_unsplit_dataset[[#This Row],[Comments]]+task_2_unsplit_dataset[[#This Row],[Shares]]</f>
        <v>5410</v>
      </c>
    </row>
    <row r="188" spans="1:7" hidden="1">
      <c r="A188" s="7">
        <v>45880</v>
      </c>
      <c r="B188" t="s">
        <v>14</v>
      </c>
      <c r="C188">
        <v>1080</v>
      </c>
      <c r="D188">
        <v>184</v>
      </c>
      <c r="E188">
        <v>340557</v>
      </c>
      <c r="F188" s="20">
        <f t="shared" si="2"/>
        <v>207077.75</v>
      </c>
      <c r="G188">
        <f>task_2_unsplit_dataset[[#This Row],[Likes]]+task_2_unsplit_dataset[[#This Row],[Comments]]+task_2_unsplit_dataset[[#This Row],[Shares]]</f>
        <v>1842</v>
      </c>
    </row>
    <row r="189" spans="1:7" hidden="1">
      <c r="A189" s="7">
        <v>45880</v>
      </c>
      <c r="B189" t="s">
        <v>24</v>
      </c>
      <c r="C189">
        <v>938</v>
      </c>
      <c r="D189">
        <v>236</v>
      </c>
      <c r="E189">
        <v>116472</v>
      </c>
      <c r="F189" s="20">
        <f t="shared" si="2"/>
        <v>214414.25</v>
      </c>
      <c r="G189">
        <f>task_2_unsplit_dataset[[#This Row],[Likes]]+task_2_unsplit_dataset[[#This Row],[Comments]]+task_2_unsplit_dataset[[#This Row],[Shares]]</f>
        <v>4336</v>
      </c>
    </row>
    <row r="190" spans="1:7" hidden="1">
      <c r="A190" s="7">
        <v>45880</v>
      </c>
      <c r="B190" t="s">
        <v>31</v>
      </c>
      <c r="C190">
        <v>1007</v>
      </c>
      <c r="D190">
        <v>258</v>
      </c>
      <c r="E190">
        <v>113412</v>
      </c>
      <c r="F190" s="20">
        <f t="shared" si="2"/>
        <v>175880.75</v>
      </c>
      <c r="G190">
        <f>task_2_unsplit_dataset[[#This Row],[Likes]]+task_2_unsplit_dataset[[#This Row],[Comments]]+task_2_unsplit_dataset[[#This Row],[Shares]]</f>
        <v>4520</v>
      </c>
    </row>
    <row r="191" spans="1:7" hidden="1">
      <c r="A191" s="7">
        <v>45887</v>
      </c>
      <c r="B191" t="s">
        <v>14</v>
      </c>
      <c r="C191">
        <v>541</v>
      </c>
      <c r="D191">
        <v>208</v>
      </c>
      <c r="E191">
        <v>157547</v>
      </c>
      <c r="F191" s="20">
        <f t="shared" si="2"/>
        <v>181997</v>
      </c>
      <c r="G191">
        <f>task_2_unsplit_dataset[[#This Row],[Likes]]+task_2_unsplit_dataset[[#This Row],[Comments]]+task_2_unsplit_dataset[[#This Row],[Shares]]</f>
        <v>2861</v>
      </c>
    </row>
    <row r="192" spans="1:7" hidden="1">
      <c r="A192" s="7">
        <v>45887</v>
      </c>
      <c r="B192" t="s">
        <v>24</v>
      </c>
      <c r="C192">
        <v>745</v>
      </c>
      <c r="D192">
        <v>98</v>
      </c>
      <c r="E192">
        <v>354816</v>
      </c>
      <c r="F192" s="20">
        <f t="shared" si="2"/>
        <v>185561.75</v>
      </c>
      <c r="G192">
        <f>task_2_unsplit_dataset[[#This Row],[Likes]]+task_2_unsplit_dataset[[#This Row],[Comments]]+task_2_unsplit_dataset[[#This Row],[Shares]]</f>
        <v>3993</v>
      </c>
    </row>
    <row r="193" spans="1:7" hidden="1">
      <c r="A193" s="7">
        <v>45887</v>
      </c>
      <c r="B193" t="s">
        <v>31</v>
      </c>
      <c r="C193">
        <v>936</v>
      </c>
      <c r="D193">
        <v>97</v>
      </c>
      <c r="E193">
        <v>151799</v>
      </c>
      <c r="F193" s="20">
        <f t="shared" si="2"/>
        <v>194393.5</v>
      </c>
      <c r="G193">
        <f>task_2_unsplit_dataset[[#This Row],[Likes]]+task_2_unsplit_dataset[[#This Row],[Comments]]+task_2_unsplit_dataset[[#This Row],[Shares]]</f>
        <v>3261</v>
      </c>
    </row>
    <row r="194" spans="1:7" hidden="1">
      <c r="A194" s="7">
        <v>45894</v>
      </c>
      <c r="B194" t="s">
        <v>14</v>
      </c>
      <c r="C194">
        <v>1183</v>
      </c>
      <c r="D194">
        <v>223</v>
      </c>
      <c r="E194">
        <v>143811</v>
      </c>
      <c r="F194" s="20">
        <f t="shared" si="2"/>
        <v>201993.25</v>
      </c>
      <c r="G194">
        <f>task_2_unsplit_dataset[[#This Row],[Likes]]+task_2_unsplit_dataset[[#This Row],[Comments]]+task_2_unsplit_dataset[[#This Row],[Shares]]</f>
        <v>5206</v>
      </c>
    </row>
    <row r="195" spans="1:7">
      <c r="A195" s="7">
        <v>45894</v>
      </c>
      <c r="B195" t="s">
        <v>24</v>
      </c>
      <c r="C195">
        <v>1413</v>
      </c>
      <c r="D195">
        <v>245</v>
      </c>
      <c r="E195">
        <v>296450</v>
      </c>
      <c r="F195" s="20">
        <f t="shared" si="2"/>
        <v>236719</v>
      </c>
      <c r="G195">
        <f>task_2_unsplit_dataset[[#This Row],[Likes]]+task_2_unsplit_dataset[[#This Row],[Comments]]+task_2_unsplit_dataset[[#This Row],[Shares]]</f>
        <v>3916</v>
      </c>
    </row>
    <row r="196" spans="1:7" hidden="1">
      <c r="A196" s="7">
        <v>45894</v>
      </c>
      <c r="B196" t="s">
        <v>31</v>
      </c>
      <c r="C196">
        <v>791</v>
      </c>
      <c r="D196">
        <v>273</v>
      </c>
      <c r="E196">
        <v>144049</v>
      </c>
      <c r="F196" s="20">
        <f t="shared" si="2"/>
        <v>184027.25</v>
      </c>
      <c r="G196">
        <f>task_2_unsplit_dataset[[#This Row],[Likes]]+task_2_unsplit_dataset[[#This Row],[Comments]]+task_2_unsplit_dataset[[#This Row],[Shares]]</f>
        <v>4880</v>
      </c>
    </row>
    <row r="197" spans="1:7" hidden="1">
      <c r="A197" s="7">
        <v>45901</v>
      </c>
      <c r="B197" t="s">
        <v>14</v>
      </c>
      <c r="C197">
        <v>1052</v>
      </c>
      <c r="D197">
        <v>180</v>
      </c>
      <c r="E197">
        <v>272534</v>
      </c>
      <c r="F197" s="20">
        <f t="shared" si="2"/>
        <v>214211</v>
      </c>
      <c r="G197">
        <f>task_2_unsplit_dataset[[#This Row],[Likes]]+task_2_unsplit_dataset[[#This Row],[Comments]]+task_2_unsplit_dataset[[#This Row],[Shares]]</f>
        <v>4726</v>
      </c>
    </row>
    <row r="198" spans="1:7" hidden="1">
      <c r="A198" s="7">
        <v>45901</v>
      </c>
      <c r="B198" t="s">
        <v>24</v>
      </c>
      <c r="C198">
        <v>572</v>
      </c>
      <c r="D198">
        <v>270</v>
      </c>
      <c r="E198">
        <v>82265</v>
      </c>
      <c r="F198" s="20">
        <f t="shared" ref="F198:F201" si="3">AVERAGE(E195:E198)</f>
        <v>198824.5</v>
      </c>
      <c r="G198">
        <f>task_2_unsplit_dataset[[#This Row],[Likes]]+task_2_unsplit_dataset[[#This Row],[Comments]]+task_2_unsplit_dataset[[#This Row],[Shares]]</f>
        <v>3296</v>
      </c>
    </row>
    <row r="199" spans="1:7" hidden="1">
      <c r="A199" s="7">
        <v>45901</v>
      </c>
      <c r="B199" t="s">
        <v>31</v>
      </c>
      <c r="C199">
        <v>503</v>
      </c>
      <c r="D199">
        <v>253</v>
      </c>
      <c r="E199">
        <v>313562</v>
      </c>
      <c r="F199" s="20">
        <f t="shared" si="3"/>
        <v>203102.5</v>
      </c>
      <c r="G199">
        <f>task_2_unsplit_dataset[[#This Row],[Likes]]+task_2_unsplit_dataset[[#This Row],[Comments]]+task_2_unsplit_dataset[[#This Row],[Shares]]</f>
        <v>3386</v>
      </c>
    </row>
    <row r="200" spans="1:7" hidden="1">
      <c r="A200" s="7">
        <v>45908</v>
      </c>
      <c r="B200" t="s">
        <v>14</v>
      </c>
      <c r="C200">
        <v>1017</v>
      </c>
      <c r="D200">
        <v>197</v>
      </c>
      <c r="E200">
        <v>89918</v>
      </c>
      <c r="F200" s="20">
        <f t="shared" si="3"/>
        <v>189569.75</v>
      </c>
      <c r="G200">
        <f>task_2_unsplit_dataset[[#This Row],[Likes]]+task_2_unsplit_dataset[[#This Row],[Comments]]+task_2_unsplit_dataset[[#This Row],[Shares]]</f>
        <v>2357</v>
      </c>
    </row>
    <row r="201" spans="1:7" hidden="1">
      <c r="A201" s="7">
        <v>45908</v>
      </c>
      <c r="B201" t="s">
        <v>24</v>
      </c>
      <c r="C201">
        <v>860</v>
      </c>
      <c r="D201">
        <v>244</v>
      </c>
      <c r="E201">
        <v>348686</v>
      </c>
      <c r="F201" s="20">
        <f t="shared" si="3"/>
        <v>208607.75</v>
      </c>
      <c r="G201">
        <f>task_2_unsplit_dataset[[#This Row],[Likes]]+task_2_unsplit_dataset[[#This Row],[Comments]]+task_2_unsplit_dataset[[#This Row],[Shares]]</f>
        <v>4700</v>
      </c>
    </row>
  </sheetData>
  <phoneticPr fontId="7" type="noConversion"/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CBEB4-1FA9-4CF7-9FE4-CF7611627381}">
  <dimension ref="B2:J4"/>
  <sheetViews>
    <sheetView workbookViewId="0">
      <selection activeCell="G34" sqref="G34"/>
    </sheetView>
  </sheetViews>
  <sheetFormatPr defaultRowHeight="14.4"/>
  <sheetData>
    <row r="2" spans="2:10">
      <c r="B2" s="32" t="s">
        <v>495</v>
      </c>
    </row>
    <row r="4" spans="2:10">
      <c r="B4" s="41" t="s">
        <v>496</v>
      </c>
      <c r="C4" s="41"/>
      <c r="D4" s="41"/>
      <c r="E4" s="41"/>
      <c r="F4" s="41"/>
      <c r="G4" s="41"/>
      <c r="H4" s="41"/>
      <c r="I4" s="41"/>
      <c r="J4" s="41"/>
    </row>
  </sheetData>
  <mergeCells count="1">
    <mergeCell ref="B4:J4"/>
  </mergeCells>
  <hyperlinks>
    <hyperlink ref="B4" r:id="rId1" xr:uid="{B2B07557-E88B-4C41-8C28-8ECA682A5595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4A88-45FA-4CC1-9E6B-9AA02D35C022}">
  <dimension ref="A3:O28"/>
  <sheetViews>
    <sheetView tabSelected="1" workbookViewId="0">
      <selection activeCell="O31" sqref="O31"/>
    </sheetView>
  </sheetViews>
  <sheetFormatPr defaultRowHeight="14.4"/>
  <sheetData>
    <row r="3" spans="1:15">
      <c r="A3" s="42" t="s">
        <v>509</v>
      </c>
      <c r="B3" s="42"/>
      <c r="C3" s="42"/>
      <c r="D3" s="42"/>
      <c r="E3" s="42"/>
      <c r="F3" s="42"/>
      <c r="G3" s="42"/>
      <c r="H3" s="42"/>
      <c r="I3" s="42"/>
    </row>
    <row r="4" spans="1:15">
      <c r="A4" s="42" t="s">
        <v>504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</row>
    <row r="5" spans="1:15">
      <c r="A5" s="42" t="s">
        <v>508</v>
      </c>
      <c r="B5" s="42"/>
      <c r="C5" s="42"/>
    </row>
    <row r="7" spans="1:15">
      <c r="A7" s="32" t="s">
        <v>506</v>
      </c>
    </row>
    <row r="8" spans="1:15">
      <c r="A8" s="33" t="s">
        <v>499</v>
      </c>
    </row>
    <row r="10" spans="1:15">
      <c r="A10" s="33" t="s">
        <v>505</v>
      </c>
    </row>
    <row r="12" spans="1:15">
      <c r="A12" s="33" t="s">
        <v>498</v>
      </c>
    </row>
    <row r="14" spans="1:15">
      <c r="A14" s="32" t="s">
        <v>497</v>
      </c>
    </row>
    <row r="15" spans="1:15">
      <c r="A15" s="37" t="s">
        <v>489</v>
      </c>
    </row>
    <row r="16" spans="1:15">
      <c r="A16" s="38" t="s">
        <v>490</v>
      </c>
    </row>
    <row r="17" spans="1:9">
      <c r="A17" s="10" t="s">
        <v>485</v>
      </c>
    </row>
    <row r="18" spans="1:9">
      <c r="A18" s="10" t="s">
        <v>486</v>
      </c>
    </row>
    <row r="20" spans="1:9">
      <c r="A20" s="37" t="s">
        <v>500</v>
      </c>
    </row>
    <row r="21" spans="1:9">
      <c r="A21" s="38" t="s">
        <v>503</v>
      </c>
    </row>
    <row r="23" spans="1:9">
      <c r="A23" s="32" t="s">
        <v>501</v>
      </c>
    </row>
    <row r="24" spans="1:9">
      <c r="A24" s="33" t="s">
        <v>502</v>
      </c>
    </row>
    <row r="26" spans="1:9">
      <c r="A26" s="32" t="s">
        <v>507</v>
      </c>
    </row>
    <row r="27" spans="1:9">
      <c r="A27" s="33" t="s">
        <v>510</v>
      </c>
    </row>
    <row r="28" spans="1:9">
      <c r="A28" s="41" t="s">
        <v>496</v>
      </c>
      <c r="B28" s="41"/>
      <c r="C28" s="41"/>
      <c r="D28" s="41"/>
      <c r="E28" s="41"/>
      <c r="F28" s="41"/>
      <c r="G28" s="41"/>
      <c r="H28" s="41"/>
      <c r="I28" s="41"/>
    </row>
  </sheetData>
  <mergeCells count="4">
    <mergeCell ref="A28:I28"/>
    <mergeCell ref="A3:I3"/>
    <mergeCell ref="A4:O4"/>
    <mergeCell ref="A5:C5"/>
  </mergeCells>
  <hyperlinks>
    <hyperlink ref="A28" r:id="rId1" xr:uid="{2347C875-D7C1-489E-9D33-18F7A0FDEEFA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3674-DFBC-43A4-B824-AB22AF43EE62}">
  <dimension ref="A1:M301"/>
  <sheetViews>
    <sheetView topLeftCell="D1" workbookViewId="0">
      <selection sqref="A1:M301"/>
    </sheetView>
  </sheetViews>
  <sheetFormatPr defaultRowHeight="14.4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8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32" bestFit="1" customWidth="1"/>
    <col min="13" max="13" width="17.77734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s="7">
        <v>45781</v>
      </c>
      <c r="D2" t="s">
        <v>15</v>
      </c>
      <c r="E2" t="s">
        <v>16</v>
      </c>
      <c r="F2">
        <v>2414</v>
      </c>
      <c r="G2">
        <v>245</v>
      </c>
      <c r="H2">
        <v>137</v>
      </c>
      <c r="I2">
        <v>21181</v>
      </c>
      <c r="J2">
        <v>45292</v>
      </c>
      <c r="K2">
        <v>133</v>
      </c>
      <c r="L2" t="s">
        <v>17</v>
      </c>
      <c r="M2" t="s">
        <v>18</v>
      </c>
    </row>
    <row r="3" spans="1:13">
      <c r="A3" t="s">
        <v>19</v>
      </c>
      <c r="B3" t="s">
        <v>14</v>
      </c>
      <c r="C3" s="7">
        <v>45689</v>
      </c>
      <c r="D3" t="s">
        <v>15</v>
      </c>
      <c r="E3" t="s">
        <v>20</v>
      </c>
      <c r="F3">
        <v>1934</v>
      </c>
      <c r="G3">
        <v>210</v>
      </c>
      <c r="H3">
        <v>393</v>
      </c>
      <c r="I3">
        <v>29129</v>
      </c>
      <c r="J3">
        <v>73287</v>
      </c>
      <c r="K3">
        <v>273</v>
      </c>
      <c r="L3" t="s">
        <v>21</v>
      </c>
      <c r="M3" t="s">
        <v>22</v>
      </c>
    </row>
    <row r="4" spans="1:13">
      <c r="A4" t="s">
        <v>23</v>
      </c>
      <c r="B4" t="s">
        <v>24</v>
      </c>
      <c r="C4" s="7">
        <v>45629</v>
      </c>
      <c r="D4" t="s">
        <v>25</v>
      </c>
      <c r="E4" t="s">
        <v>26</v>
      </c>
      <c r="F4">
        <v>3092</v>
      </c>
      <c r="G4">
        <v>177</v>
      </c>
      <c r="H4">
        <v>81</v>
      </c>
      <c r="I4">
        <v>47533</v>
      </c>
      <c r="J4">
        <v>29220</v>
      </c>
      <c r="K4">
        <v>121</v>
      </c>
      <c r="L4" t="s">
        <v>27</v>
      </c>
      <c r="M4" t="s">
        <v>18</v>
      </c>
    </row>
    <row r="5" spans="1:13">
      <c r="A5" t="s">
        <v>28</v>
      </c>
      <c r="B5" t="s">
        <v>14</v>
      </c>
      <c r="C5" s="7">
        <v>45629</v>
      </c>
      <c r="D5" t="s">
        <v>15</v>
      </c>
      <c r="E5" t="s">
        <v>29</v>
      </c>
      <c r="F5">
        <v>3173</v>
      </c>
      <c r="G5">
        <v>229</v>
      </c>
      <c r="H5">
        <v>197</v>
      </c>
      <c r="I5">
        <v>29604</v>
      </c>
      <c r="J5">
        <v>21809</v>
      </c>
      <c r="K5">
        <v>272</v>
      </c>
      <c r="L5" t="s">
        <v>17</v>
      </c>
      <c r="M5" t="s">
        <v>18</v>
      </c>
    </row>
    <row r="6" spans="1:13">
      <c r="A6" t="s">
        <v>30</v>
      </c>
      <c r="B6" t="s">
        <v>31</v>
      </c>
      <c r="C6" s="7">
        <v>45388</v>
      </c>
      <c r="D6" t="s">
        <v>15</v>
      </c>
      <c r="E6" t="s">
        <v>32</v>
      </c>
      <c r="F6">
        <v>2748</v>
      </c>
      <c r="G6">
        <v>145</v>
      </c>
      <c r="H6">
        <v>315</v>
      </c>
      <c r="I6">
        <v>24401</v>
      </c>
      <c r="J6">
        <v>61182</v>
      </c>
      <c r="K6">
        <v>200</v>
      </c>
      <c r="L6" t="s">
        <v>33</v>
      </c>
      <c r="M6" t="s">
        <v>22</v>
      </c>
    </row>
    <row r="7" spans="1:13">
      <c r="A7" t="s">
        <v>34</v>
      </c>
      <c r="B7" t="s">
        <v>31</v>
      </c>
      <c r="C7" s="7">
        <v>45456</v>
      </c>
      <c r="D7" t="s">
        <v>15</v>
      </c>
      <c r="E7" t="s">
        <v>35</v>
      </c>
      <c r="F7">
        <v>3882</v>
      </c>
      <c r="G7">
        <v>239</v>
      </c>
      <c r="H7">
        <v>275</v>
      </c>
      <c r="I7">
        <v>58748</v>
      </c>
      <c r="J7">
        <v>44646</v>
      </c>
      <c r="K7">
        <v>149</v>
      </c>
      <c r="L7" t="s">
        <v>33</v>
      </c>
      <c r="M7" t="s">
        <v>22</v>
      </c>
    </row>
    <row r="8" spans="1:13">
      <c r="A8" t="s">
        <v>36</v>
      </c>
      <c r="B8" t="s">
        <v>24</v>
      </c>
      <c r="C8" s="7">
        <v>45645</v>
      </c>
      <c r="D8" t="s">
        <v>25</v>
      </c>
      <c r="E8" t="s">
        <v>37</v>
      </c>
      <c r="F8">
        <v>4674</v>
      </c>
      <c r="G8">
        <v>409</v>
      </c>
      <c r="H8">
        <v>327</v>
      </c>
      <c r="I8">
        <v>20756</v>
      </c>
      <c r="J8">
        <v>63599</v>
      </c>
      <c r="K8">
        <v>212</v>
      </c>
      <c r="L8" t="s">
        <v>17</v>
      </c>
      <c r="M8" t="s">
        <v>18</v>
      </c>
    </row>
    <row r="9" spans="1:13">
      <c r="A9" t="s">
        <v>38</v>
      </c>
      <c r="B9" t="s">
        <v>24</v>
      </c>
      <c r="C9" s="7">
        <v>45421</v>
      </c>
      <c r="D9" t="s">
        <v>25</v>
      </c>
      <c r="E9" t="s">
        <v>29</v>
      </c>
      <c r="F9">
        <v>1428</v>
      </c>
      <c r="G9">
        <v>347</v>
      </c>
      <c r="H9">
        <v>67</v>
      </c>
      <c r="I9">
        <v>21148</v>
      </c>
      <c r="J9">
        <v>19712</v>
      </c>
      <c r="K9">
        <v>120</v>
      </c>
      <c r="L9" t="s">
        <v>39</v>
      </c>
      <c r="M9" t="s">
        <v>18</v>
      </c>
    </row>
    <row r="10" spans="1:13">
      <c r="A10" t="s">
        <v>40</v>
      </c>
      <c r="B10" t="s">
        <v>24</v>
      </c>
      <c r="C10" s="7">
        <v>45823</v>
      </c>
      <c r="D10" t="s">
        <v>15</v>
      </c>
      <c r="E10" t="s">
        <v>41</v>
      </c>
      <c r="F10">
        <v>4432</v>
      </c>
      <c r="G10">
        <v>223</v>
      </c>
      <c r="H10">
        <v>299</v>
      </c>
      <c r="I10">
        <v>59016</v>
      </c>
      <c r="J10">
        <v>21742</v>
      </c>
      <c r="K10">
        <v>171</v>
      </c>
      <c r="L10" t="s">
        <v>42</v>
      </c>
      <c r="M10" t="s">
        <v>18</v>
      </c>
    </row>
    <row r="11" spans="1:13">
      <c r="A11" t="s">
        <v>43</v>
      </c>
      <c r="B11" t="s">
        <v>24</v>
      </c>
      <c r="C11" s="7">
        <v>45630</v>
      </c>
      <c r="D11" t="s">
        <v>15</v>
      </c>
      <c r="E11" t="s">
        <v>29</v>
      </c>
      <c r="F11">
        <v>2357</v>
      </c>
      <c r="G11">
        <v>274</v>
      </c>
      <c r="H11">
        <v>172</v>
      </c>
      <c r="I11">
        <v>21566</v>
      </c>
      <c r="J11">
        <v>66829</v>
      </c>
      <c r="K11">
        <v>284</v>
      </c>
      <c r="L11" t="s">
        <v>42</v>
      </c>
      <c r="M11" t="s">
        <v>18</v>
      </c>
    </row>
    <row r="12" spans="1:13">
      <c r="A12" t="s">
        <v>44</v>
      </c>
      <c r="B12" t="s">
        <v>24</v>
      </c>
      <c r="C12" s="7">
        <v>45357</v>
      </c>
      <c r="D12" t="s">
        <v>15</v>
      </c>
      <c r="E12" t="s">
        <v>16</v>
      </c>
      <c r="F12">
        <v>1971</v>
      </c>
      <c r="G12">
        <v>370</v>
      </c>
      <c r="H12">
        <v>306</v>
      </c>
      <c r="I12">
        <v>31316</v>
      </c>
      <c r="J12">
        <v>27897</v>
      </c>
      <c r="K12">
        <v>88</v>
      </c>
      <c r="L12" t="s">
        <v>45</v>
      </c>
      <c r="M12" t="s">
        <v>22</v>
      </c>
    </row>
    <row r="13" spans="1:13">
      <c r="A13" t="s">
        <v>46</v>
      </c>
      <c r="B13" t="s">
        <v>14</v>
      </c>
      <c r="C13" s="7">
        <v>45426</v>
      </c>
      <c r="D13" t="s">
        <v>15</v>
      </c>
      <c r="E13" t="s">
        <v>16</v>
      </c>
      <c r="F13">
        <v>1485</v>
      </c>
      <c r="G13">
        <v>353</v>
      </c>
      <c r="H13">
        <v>244</v>
      </c>
      <c r="I13">
        <v>38419</v>
      </c>
      <c r="J13">
        <v>38556</v>
      </c>
      <c r="K13">
        <v>86</v>
      </c>
      <c r="L13" t="s">
        <v>17</v>
      </c>
      <c r="M13" t="s">
        <v>18</v>
      </c>
    </row>
    <row r="14" spans="1:13">
      <c r="A14" t="s">
        <v>47</v>
      </c>
      <c r="B14" t="s">
        <v>24</v>
      </c>
      <c r="C14" s="7">
        <v>45826</v>
      </c>
      <c r="D14" t="s">
        <v>25</v>
      </c>
      <c r="E14" t="s">
        <v>16</v>
      </c>
      <c r="F14">
        <v>3956</v>
      </c>
      <c r="G14">
        <v>319</v>
      </c>
      <c r="H14">
        <v>61</v>
      </c>
      <c r="I14">
        <v>58162</v>
      </c>
      <c r="J14">
        <v>28720</v>
      </c>
      <c r="K14">
        <v>213</v>
      </c>
      <c r="L14" t="s">
        <v>27</v>
      </c>
      <c r="M14" t="s">
        <v>18</v>
      </c>
    </row>
    <row r="15" spans="1:13">
      <c r="A15" t="s">
        <v>48</v>
      </c>
      <c r="B15" t="s">
        <v>24</v>
      </c>
      <c r="C15" s="7">
        <v>45573</v>
      </c>
      <c r="D15" t="s">
        <v>15</v>
      </c>
      <c r="E15" t="s">
        <v>49</v>
      </c>
      <c r="F15">
        <v>2460</v>
      </c>
      <c r="G15">
        <v>409</v>
      </c>
      <c r="H15">
        <v>253</v>
      </c>
      <c r="I15">
        <v>36702</v>
      </c>
      <c r="J15">
        <v>46122</v>
      </c>
      <c r="K15">
        <v>264</v>
      </c>
      <c r="L15" t="s">
        <v>42</v>
      </c>
      <c r="M15" t="s">
        <v>18</v>
      </c>
    </row>
    <row r="16" spans="1:13">
      <c r="A16" t="s">
        <v>50</v>
      </c>
      <c r="B16" t="s">
        <v>24</v>
      </c>
      <c r="C16" s="7">
        <v>45418</v>
      </c>
      <c r="D16" t="s">
        <v>15</v>
      </c>
      <c r="E16" t="s">
        <v>51</v>
      </c>
      <c r="F16">
        <v>3476</v>
      </c>
      <c r="G16">
        <v>355</v>
      </c>
      <c r="H16">
        <v>396</v>
      </c>
      <c r="I16">
        <v>37492</v>
      </c>
      <c r="J16">
        <v>27285</v>
      </c>
      <c r="K16">
        <v>179</v>
      </c>
      <c r="L16" t="s">
        <v>42</v>
      </c>
      <c r="M16" t="s">
        <v>18</v>
      </c>
    </row>
    <row r="17" spans="1:13">
      <c r="A17" t="s">
        <v>52</v>
      </c>
      <c r="B17" t="s">
        <v>24</v>
      </c>
      <c r="C17" s="7">
        <v>45655</v>
      </c>
      <c r="D17" t="s">
        <v>25</v>
      </c>
      <c r="E17" t="s">
        <v>26</v>
      </c>
      <c r="F17">
        <v>4049</v>
      </c>
      <c r="G17">
        <v>377</v>
      </c>
      <c r="H17">
        <v>94</v>
      </c>
      <c r="I17">
        <v>48182</v>
      </c>
      <c r="J17">
        <v>42875</v>
      </c>
      <c r="K17">
        <v>172</v>
      </c>
      <c r="L17" t="s">
        <v>27</v>
      </c>
      <c r="M17" t="s">
        <v>18</v>
      </c>
    </row>
    <row r="18" spans="1:13">
      <c r="A18" t="s">
        <v>53</v>
      </c>
      <c r="B18" t="s">
        <v>24</v>
      </c>
      <c r="C18" s="7">
        <v>45453</v>
      </c>
      <c r="D18" t="s">
        <v>15</v>
      </c>
      <c r="E18" t="s">
        <v>35</v>
      </c>
      <c r="F18">
        <v>1514</v>
      </c>
      <c r="G18">
        <v>164</v>
      </c>
      <c r="H18">
        <v>275</v>
      </c>
      <c r="I18">
        <v>41364</v>
      </c>
      <c r="J18">
        <v>44389</v>
      </c>
      <c r="K18">
        <v>83</v>
      </c>
      <c r="L18" t="s">
        <v>42</v>
      </c>
      <c r="M18" t="s">
        <v>18</v>
      </c>
    </row>
    <row r="19" spans="1:13">
      <c r="A19" t="s">
        <v>54</v>
      </c>
      <c r="B19" t="s">
        <v>14</v>
      </c>
      <c r="C19" s="7">
        <v>45325</v>
      </c>
      <c r="D19" t="s">
        <v>25</v>
      </c>
      <c r="E19" t="s">
        <v>32</v>
      </c>
      <c r="F19">
        <v>4281</v>
      </c>
      <c r="G19">
        <v>101</v>
      </c>
      <c r="H19">
        <v>163</v>
      </c>
      <c r="I19">
        <v>32278</v>
      </c>
      <c r="J19">
        <v>53382</v>
      </c>
      <c r="K19">
        <v>235</v>
      </c>
      <c r="L19" t="s">
        <v>42</v>
      </c>
      <c r="M19" t="s">
        <v>55</v>
      </c>
    </row>
    <row r="20" spans="1:13">
      <c r="A20" t="s">
        <v>56</v>
      </c>
      <c r="B20" t="s">
        <v>31</v>
      </c>
      <c r="C20" s="7">
        <v>45458</v>
      </c>
      <c r="D20" t="s">
        <v>57</v>
      </c>
      <c r="E20" t="s">
        <v>37</v>
      </c>
      <c r="F20">
        <v>1751</v>
      </c>
      <c r="G20">
        <v>143</v>
      </c>
      <c r="H20">
        <v>151</v>
      </c>
      <c r="I20">
        <v>31826</v>
      </c>
      <c r="J20">
        <v>47729</v>
      </c>
      <c r="K20">
        <v>95</v>
      </c>
      <c r="L20" t="s">
        <v>58</v>
      </c>
      <c r="M20" t="s">
        <v>59</v>
      </c>
    </row>
    <row r="21" spans="1:13">
      <c r="A21" t="s">
        <v>60</v>
      </c>
      <c r="B21" t="s">
        <v>14</v>
      </c>
      <c r="C21" s="7">
        <v>45478</v>
      </c>
      <c r="D21" t="s">
        <v>15</v>
      </c>
      <c r="E21" t="s">
        <v>51</v>
      </c>
      <c r="F21">
        <v>3753</v>
      </c>
      <c r="G21">
        <v>411</v>
      </c>
      <c r="H21">
        <v>308</v>
      </c>
      <c r="I21">
        <v>29138</v>
      </c>
      <c r="J21">
        <v>27678</v>
      </c>
      <c r="K21">
        <v>90</v>
      </c>
      <c r="L21" t="s">
        <v>21</v>
      </c>
      <c r="M21" t="s">
        <v>22</v>
      </c>
    </row>
    <row r="22" spans="1:13">
      <c r="A22" t="s">
        <v>61</v>
      </c>
      <c r="B22" t="s">
        <v>14</v>
      </c>
      <c r="C22" s="7">
        <v>45603</v>
      </c>
      <c r="D22" t="s">
        <v>25</v>
      </c>
      <c r="E22" t="s">
        <v>29</v>
      </c>
      <c r="F22">
        <v>1678</v>
      </c>
      <c r="G22">
        <v>423</v>
      </c>
      <c r="H22">
        <v>323</v>
      </c>
      <c r="I22">
        <v>55668</v>
      </c>
      <c r="J22">
        <v>37945</v>
      </c>
      <c r="K22">
        <v>230</v>
      </c>
      <c r="L22" t="s">
        <v>42</v>
      </c>
      <c r="M22" t="s">
        <v>55</v>
      </c>
    </row>
    <row r="23" spans="1:13">
      <c r="A23" t="s">
        <v>62</v>
      </c>
      <c r="B23" t="s">
        <v>14</v>
      </c>
      <c r="C23" s="7">
        <v>45823</v>
      </c>
      <c r="D23" t="s">
        <v>15</v>
      </c>
      <c r="E23" t="s">
        <v>35</v>
      </c>
      <c r="F23">
        <v>4896</v>
      </c>
      <c r="G23">
        <v>466</v>
      </c>
      <c r="H23">
        <v>233</v>
      </c>
      <c r="I23">
        <v>28621</v>
      </c>
      <c r="J23">
        <v>34270</v>
      </c>
      <c r="K23">
        <v>84</v>
      </c>
      <c r="L23" t="s">
        <v>17</v>
      </c>
      <c r="M23" t="s">
        <v>18</v>
      </c>
    </row>
    <row r="24" spans="1:13">
      <c r="A24" t="s">
        <v>63</v>
      </c>
      <c r="B24" t="s">
        <v>31</v>
      </c>
      <c r="C24" s="7">
        <v>45452</v>
      </c>
      <c r="D24" t="s">
        <v>57</v>
      </c>
      <c r="E24" t="s">
        <v>49</v>
      </c>
      <c r="F24">
        <v>2786</v>
      </c>
      <c r="G24">
        <v>368</v>
      </c>
      <c r="H24">
        <v>208</v>
      </c>
      <c r="I24">
        <v>42000</v>
      </c>
      <c r="J24">
        <v>39967</v>
      </c>
      <c r="K24">
        <v>103</v>
      </c>
      <c r="L24" t="s">
        <v>58</v>
      </c>
      <c r="M24" t="s">
        <v>59</v>
      </c>
    </row>
    <row r="25" spans="1:13">
      <c r="A25" t="s">
        <v>64</v>
      </c>
      <c r="B25" t="s">
        <v>24</v>
      </c>
      <c r="C25" s="7">
        <v>45583</v>
      </c>
      <c r="D25" t="s">
        <v>15</v>
      </c>
      <c r="E25" t="s">
        <v>26</v>
      </c>
      <c r="F25">
        <v>2607</v>
      </c>
      <c r="G25">
        <v>379</v>
      </c>
      <c r="H25">
        <v>180</v>
      </c>
      <c r="I25">
        <v>28712</v>
      </c>
      <c r="J25">
        <v>61620</v>
      </c>
      <c r="K25">
        <v>174</v>
      </c>
      <c r="L25" t="s">
        <v>45</v>
      </c>
      <c r="M25" t="s">
        <v>22</v>
      </c>
    </row>
    <row r="26" spans="1:13">
      <c r="A26" t="s">
        <v>65</v>
      </c>
      <c r="B26" t="s">
        <v>31</v>
      </c>
      <c r="C26" s="7">
        <v>45575</v>
      </c>
      <c r="D26" t="s">
        <v>57</v>
      </c>
      <c r="E26" t="s">
        <v>49</v>
      </c>
      <c r="F26">
        <v>4013</v>
      </c>
      <c r="G26">
        <v>320</v>
      </c>
      <c r="H26">
        <v>92</v>
      </c>
      <c r="I26">
        <v>54605</v>
      </c>
      <c r="J26">
        <v>60169</v>
      </c>
      <c r="K26">
        <v>232</v>
      </c>
      <c r="L26" t="s">
        <v>58</v>
      </c>
      <c r="M26" t="s">
        <v>59</v>
      </c>
    </row>
    <row r="27" spans="1:13">
      <c r="A27" t="s">
        <v>66</v>
      </c>
      <c r="B27" t="s">
        <v>24</v>
      </c>
      <c r="C27" s="7">
        <v>45791</v>
      </c>
      <c r="D27" t="s">
        <v>25</v>
      </c>
      <c r="E27" t="s">
        <v>49</v>
      </c>
      <c r="F27">
        <v>2707</v>
      </c>
      <c r="G27">
        <v>103</v>
      </c>
      <c r="H27">
        <v>51</v>
      </c>
      <c r="I27">
        <v>55302</v>
      </c>
      <c r="J27">
        <v>18801</v>
      </c>
      <c r="K27">
        <v>147</v>
      </c>
      <c r="L27" t="s">
        <v>39</v>
      </c>
      <c r="M27" t="s">
        <v>18</v>
      </c>
    </row>
    <row r="28" spans="1:13">
      <c r="A28" t="s">
        <v>67</v>
      </c>
      <c r="B28" t="s">
        <v>14</v>
      </c>
      <c r="C28" s="7">
        <v>45625</v>
      </c>
      <c r="D28" t="s">
        <v>15</v>
      </c>
      <c r="E28" t="s">
        <v>35</v>
      </c>
      <c r="F28">
        <v>2824</v>
      </c>
      <c r="G28">
        <v>425</v>
      </c>
      <c r="H28">
        <v>274</v>
      </c>
      <c r="I28">
        <v>31004</v>
      </c>
      <c r="J28">
        <v>53488</v>
      </c>
      <c r="K28">
        <v>268</v>
      </c>
      <c r="L28" t="s">
        <v>17</v>
      </c>
      <c r="M28" t="s">
        <v>18</v>
      </c>
    </row>
    <row r="29" spans="1:13">
      <c r="A29" t="s">
        <v>68</v>
      </c>
      <c r="B29" t="s">
        <v>31</v>
      </c>
      <c r="C29" s="7">
        <v>45356</v>
      </c>
      <c r="D29" t="s">
        <v>57</v>
      </c>
      <c r="E29" t="s">
        <v>20</v>
      </c>
      <c r="F29">
        <v>3558</v>
      </c>
      <c r="G29">
        <v>314</v>
      </c>
      <c r="H29">
        <v>199</v>
      </c>
      <c r="I29">
        <v>49612</v>
      </c>
      <c r="J29">
        <v>53929</v>
      </c>
      <c r="K29">
        <v>206</v>
      </c>
      <c r="L29" t="s">
        <v>58</v>
      </c>
      <c r="M29" t="s">
        <v>59</v>
      </c>
    </row>
    <row r="30" spans="1:13">
      <c r="A30" t="s">
        <v>69</v>
      </c>
      <c r="B30" t="s">
        <v>24</v>
      </c>
      <c r="C30" s="7">
        <v>45734</v>
      </c>
      <c r="D30" t="s">
        <v>25</v>
      </c>
      <c r="E30" t="s">
        <v>20</v>
      </c>
      <c r="F30">
        <v>3418</v>
      </c>
      <c r="G30">
        <v>188</v>
      </c>
      <c r="H30">
        <v>387</v>
      </c>
      <c r="I30">
        <v>57431</v>
      </c>
      <c r="J30">
        <v>36933</v>
      </c>
      <c r="K30">
        <v>202</v>
      </c>
      <c r="L30" t="s">
        <v>27</v>
      </c>
      <c r="M30" t="s">
        <v>18</v>
      </c>
    </row>
    <row r="31" spans="1:13">
      <c r="A31" t="s">
        <v>70</v>
      </c>
      <c r="B31" t="s">
        <v>24</v>
      </c>
      <c r="C31" s="7">
        <v>45773</v>
      </c>
      <c r="D31" t="s">
        <v>15</v>
      </c>
      <c r="E31" t="s">
        <v>16</v>
      </c>
      <c r="F31">
        <v>2411</v>
      </c>
      <c r="G31">
        <v>194</v>
      </c>
      <c r="H31">
        <v>168</v>
      </c>
      <c r="I31">
        <v>26665</v>
      </c>
      <c r="J31">
        <v>71699</v>
      </c>
      <c r="K31">
        <v>197</v>
      </c>
      <c r="L31" t="s">
        <v>42</v>
      </c>
      <c r="M31" t="s">
        <v>18</v>
      </c>
    </row>
    <row r="32" spans="1:13">
      <c r="A32" t="s">
        <v>71</v>
      </c>
      <c r="B32" t="s">
        <v>14</v>
      </c>
      <c r="C32" s="7">
        <v>45658</v>
      </c>
      <c r="D32" t="s">
        <v>15</v>
      </c>
      <c r="E32" t="s">
        <v>26</v>
      </c>
      <c r="F32">
        <v>4036</v>
      </c>
      <c r="G32">
        <v>112</v>
      </c>
      <c r="H32">
        <v>382</v>
      </c>
      <c r="I32">
        <v>56284</v>
      </c>
      <c r="J32">
        <v>29440</v>
      </c>
      <c r="K32">
        <v>279</v>
      </c>
      <c r="L32" t="s">
        <v>17</v>
      </c>
      <c r="M32" t="s">
        <v>18</v>
      </c>
    </row>
    <row r="33" spans="1:13">
      <c r="A33" t="s">
        <v>72</v>
      </c>
      <c r="B33" t="s">
        <v>24</v>
      </c>
      <c r="C33" s="7">
        <v>45419</v>
      </c>
      <c r="D33" t="s">
        <v>25</v>
      </c>
      <c r="E33" t="s">
        <v>20</v>
      </c>
      <c r="F33">
        <v>2776</v>
      </c>
      <c r="G33">
        <v>307</v>
      </c>
      <c r="H33">
        <v>178</v>
      </c>
      <c r="I33">
        <v>43365</v>
      </c>
      <c r="J33">
        <v>48408</v>
      </c>
      <c r="K33">
        <v>138</v>
      </c>
      <c r="L33" t="s">
        <v>17</v>
      </c>
      <c r="M33" t="s">
        <v>18</v>
      </c>
    </row>
    <row r="34" spans="1:13">
      <c r="A34" t="s">
        <v>73</v>
      </c>
      <c r="B34" t="s">
        <v>24</v>
      </c>
      <c r="C34" s="7">
        <v>45574</v>
      </c>
      <c r="D34" t="s">
        <v>25</v>
      </c>
      <c r="E34" t="s">
        <v>16</v>
      </c>
      <c r="F34">
        <v>4929</v>
      </c>
      <c r="G34">
        <v>182</v>
      </c>
      <c r="H34">
        <v>95</v>
      </c>
      <c r="I34">
        <v>32181</v>
      </c>
      <c r="J34">
        <v>31084</v>
      </c>
      <c r="K34">
        <v>289</v>
      </c>
      <c r="L34" t="s">
        <v>39</v>
      </c>
      <c r="M34" t="s">
        <v>18</v>
      </c>
    </row>
    <row r="35" spans="1:13">
      <c r="A35" t="s">
        <v>74</v>
      </c>
      <c r="B35" t="s">
        <v>14</v>
      </c>
      <c r="C35" s="7">
        <v>45666</v>
      </c>
      <c r="D35" t="s">
        <v>15</v>
      </c>
      <c r="E35" t="s">
        <v>26</v>
      </c>
      <c r="F35">
        <v>1015</v>
      </c>
      <c r="G35">
        <v>366</v>
      </c>
      <c r="H35">
        <v>308</v>
      </c>
      <c r="I35">
        <v>38127</v>
      </c>
      <c r="J35">
        <v>63790</v>
      </c>
      <c r="K35">
        <v>287</v>
      </c>
      <c r="L35" t="s">
        <v>17</v>
      </c>
      <c r="M35" t="s">
        <v>18</v>
      </c>
    </row>
    <row r="36" spans="1:13">
      <c r="A36" t="s">
        <v>75</v>
      </c>
      <c r="B36" t="s">
        <v>24</v>
      </c>
      <c r="C36" s="7">
        <v>45785</v>
      </c>
      <c r="D36" t="s">
        <v>25</v>
      </c>
      <c r="E36" t="s">
        <v>51</v>
      </c>
      <c r="F36">
        <v>3316</v>
      </c>
      <c r="G36">
        <v>332</v>
      </c>
      <c r="H36">
        <v>268</v>
      </c>
      <c r="I36">
        <v>40095</v>
      </c>
      <c r="J36">
        <v>36913</v>
      </c>
      <c r="K36">
        <v>265</v>
      </c>
      <c r="L36" t="s">
        <v>27</v>
      </c>
      <c r="M36" t="s">
        <v>18</v>
      </c>
    </row>
    <row r="37" spans="1:13">
      <c r="A37" t="s">
        <v>76</v>
      </c>
      <c r="B37" t="s">
        <v>14</v>
      </c>
      <c r="C37" s="7">
        <v>45416</v>
      </c>
      <c r="D37" t="s">
        <v>15</v>
      </c>
      <c r="E37" t="s">
        <v>29</v>
      </c>
      <c r="F37">
        <v>2274</v>
      </c>
      <c r="G37">
        <v>243</v>
      </c>
      <c r="H37">
        <v>222</v>
      </c>
      <c r="I37">
        <v>43066</v>
      </c>
      <c r="J37">
        <v>59174</v>
      </c>
      <c r="K37">
        <v>80</v>
      </c>
      <c r="L37" t="s">
        <v>21</v>
      </c>
      <c r="M37" t="s">
        <v>22</v>
      </c>
    </row>
    <row r="38" spans="1:13">
      <c r="A38" t="s">
        <v>77</v>
      </c>
      <c r="B38" t="s">
        <v>24</v>
      </c>
      <c r="C38" s="7">
        <v>45804</v>
      </c>
      <c r="D38" t="s">
        <v>25</v>
      </c>
      <c r="E38" t="s">
        <v>20</v>
      </c>
      <c r="F38">
        <v>4095</v>
      </c>
      <c r="G38">
        <v>385</v>
      </c>
      <c r="H38">
        <v>400</v>
      </c>
      <c r="I38">
        <v>45300</v>
      </c>
      <c r="J38">
        <v>31795</v>
      </c>
      <c r="K38">
        <v>80</v>
      </c>
      <c r="L38" t="s">
        <v>27</v>
      </c>
      <c r="M38" t="s">
        <v>18</v>
      </c>
    </row>
    <row r="39" spans="1:13">
      <c r="A39" t="s">
        <v>78</v>
      </c>
      <c r="B39" t="s">
        <v>14</v>
      </c>
      <c r="C39" s="7">
        <v>45545</v>
      </c>
      <c r="D39" t="s">
        <v>25</v>
      </c>
      <c r="E39" t="s">
        <v>26</v>
      </c>
      <c r="F39">
        <v>1230</v>
      </c>
      <c r="G39">
        <v>309</v>
      </c>
      <c r="H39">
        <v>207</v>
      </c>
      <c r="I39">
        <v>44629</v>
      </c>
      <c r="J39">
        <v>40699</v>
      </c>
      <c r="K39">
        <v>195</v>
      </c>
      <c r="L39" t="s">
        <v>42</v>
      </c>
      <c r="M39" t="s">
        <v>55</v>
      </c>
    </row>
    <row r="40" spans="1:13">
      <c r="A40" t="s">
        <v>79</v>
      </c>
      <c r="B40" t="s">
        <v>14</v>
      </c>
      <c r="C40" s="7">
        <v>45621</v>
      </c>
      <c r="D40" t="s">
        <v>15</v>
      </c>
      <c r="E40" t="s">
        <v>49</v>
      </c>
      <c r="F40">
        <v>1341</v>
      </c>
      <c r="G40">
        <v>472</v>
      </c>
      <c r="H40">
        <v>238</v>
      </c>
      <c r="I40">
        <v>51386</v>
      </c>
      <c r="J40">
        <v>51706</v>
      </c>
      <c r="K40">
        <v>133</v>
      </c>
      <c r="L40" t="s">
        <v>21</v>
      </c>
      <c r="M40" t="s">
        <v>22</v>
      </c>
    </row>
    <row r="41" spans="1:13">
      <c r="A41" t="s">
        <v>80</v>
      </c>
      <c r="B41" t="s">
        <v>24</v>
      </c>
      <c r="C41" s="7">
        <v>45818</v>
      </c>
      <c r="D41" t="s">
        <v>15</v>
      </c>
      <c r="E41" t="s">
        <v>20</v>
      </c>
      <c r="F41">
        <v>3615</v>
      </c>
      <c r="G41">
        <v>192</v>
      </c>
      <c r="H41">
        <v>162</v>
      </c>
      <c r="I41">
        <v>27492</v>
      </c>
      <c r="J41">
        <v>35341</v>
      </c>
      <c r="K41">
        <v>125</v>
      </c>
      <c r="L41" t="s">
        <v>42</v>
      </c>
      <c r="M41" t="s">
        <v>18</v>
      </c>
    </row>
    <row r="42" spans="1:13">
      <c r="A42" t="s">
        <v>81</v>
      </c>
      <c r="B42" t="s">
        <v>14</v>
      </c>
      <c r="C42" s="7">
        <v>45401</v>
      </c>
      <c r="D42" t="s">
        <v>15</v>
      </c>
      <c r="E42" t="s">
        <v>26</v>
      </c>
      <c r="F42">
        <v>4001</v>
      </c>
      <c r="G42">
        <v>353</v>
      </c>
      <c r="H42">
        <v>129</v>
      </c>
      <c r="I42">
        <v>41265</v>
      </c>
      <c r="J42">
        <v>37279</v>
      </c>
      <c r="K42">
        <v>275</v>
      </c>
      <c r="L42" t="s">
        <v>17</v>
      </c>
      <c r="M42" t="s">
        <v>18</v>
      </c>
    </row>
    <row r="43" spans="1:13">
      <c r="A43" t="s">
        <v>82</v>
      </c>
      <c r="B43" t="s">
        <v>14</v>
      </c>
      <c r="C43" s="7">
        <v>45683</v>
      </c>
      <c r="D43" t="s">
        <v>25</v>
      </c>
      <c r="E43" t="s">
        <v>35</v>
      </c>
      <c r="F43">
        <v>3451</v>
      </c>
      <c r="G43">
        <v>363</v>
      </c>
      <c r="H43">
        <v>393</v>
      </c>
      <c r="I43">
        <v>44853</v>
      </c>
      <c r="J43">
        <v>69032</v>
      </c>
      <c r="K43">
        <v>211</v>
      </c>
      <c r="L43" t="s">
        <v>42</v>
      </c>
      <c r="M43" t="s">
        <v>55</v>
      </c>
    </row>
    <row r="44" spans="1:13">
      <c r="A44" t="s">
        <v>83</v>
      </c>
      <c r="B44" t="s">
        <v>14</v>
      </c>
      <c r="C44" s="7">
        <v>45702</v>
      </c>
      <c r="D44" t="s">
        <v>15</v>
      </c>
      <c r="E44" t="s">
        <v>41</v>
      </c>
      <c r="F44">
        <v>4891</v>
      </c>
      <c r="G44">
        <v>450</v>
      </c>
      <c r="H44">
        <v>387</v>
      </c>
      <c r="I44">
        <v>48746</v>
      </c>
      <c r="J44">
        <v>37312</v>
      </c>
      <c r="K44">
        <v>154</v>
      </c>
      <c r="L44" t="s">
        <v>17</v>
      </c>
      <c r="M44" t="s">
        <v>18</v>
      </c>
    </row>
    <row r="45" spans="1:13">
      <c r="A45" t="s">
        <v>84</v>
      </c>
      <c r="B45" t="s">
        <v>14</v>
      </c>
      <c r="C45" s="7">
        <v>45541</v>
      </c>
      <c r="D45" t="s">
        <v>15</v>
      </c>
      <c r="E45" t="s">
        <v>26</v>
      </c>
      <c r="F45">
        <v>1452</v>
      </c>
      <c r="G45">
        <v>281</v>
      </c>
      <c r="H45">
        <v>326</v>
      </c>
      <c r="I45">
        <v>51556</v>
      </c>
      <c r="J45">
        <v>62599</v>
      </c>
      <c r="K45">
        <v>290</v>
      </c>
      <c r="L45" t="s">
        <v>21</v>
      </c>
      <c r="M45" t="s">
        <v>22</v>
      </c>
    </row>
    <row r="46" spans="1:13">
      <c r="A46" t="s">
        <v>85</v>
      </c>
      <c r="B46" t="s">
        <v>31</v>
      </c>
      <c r="C46" s="7">
        <v>45487</v>
      </c>
      <c r="D46" t="s">
        <v>15</v>
      </c>
      <c r="E46" t="s">
        <v>51</v>
      </c>
      <c r="F46">
        <v>3806</v>
      </c>
      <c r="G46">
        <v>114</v>
      </c>
      <c r="H46">
        <v>278</v>
      </c>
      <c r="I46">
        <v>36148</v>
      </c>
      <c r="J46">
        <v>24209</v>
      </c>
      <c r="K46">
        <v>201</v>
      </c>
      <c r="L46" t="s">
        <v>33</v>
      </c>
      <c r="M46" t="s">
        <v>22</v>
      </c>
    </row>
    <row r="47" spans="1:13">
      <c r="A47" t="s">
        <v>86</v>
      </c>
      <c r="B47" t="s">
        <v>14</v>
      </c>
      <c r="C47" s="7">
        <v>45334</v>
      </c>
      <c r="D47" t="s">
        <v>15</v>
      </c>
      <c r="E47" t="s">
        <v>20</v>
      </c>
      <c r="F47">
        <v>2923</v>
      </c>
      <c r="G47">
        <v>330</v>
      </c>
      <c r="H47">
        <v>250</v>
      </c>
      <c r="I47">
        <v>23993</v>
      </c>
      <c r="J47">
        <v>74590</v>
      </c>
      <c r="K47">
        <v>92</v>
      </c>
      <c r="L47" t="s">
        <v>21</v>
      </c>
      <c r="M47" t="s">
        <v>22</v>
      </c>
    </row>
    <row r="48" spans="1:13">
      <c r="A48" t="s">
        <v>87</v>
      </c>
      <c r="B48" t="s">
        <v>31</v>
      </c>
      <c r="C48" s="7">
        <v>45365</v>
      </c>
      <c r="D48" t="s">
        <v>57</v>
      </c>
      <c r="E48" t="s">
        <v>49</v>
      </c>
      <c r="F48">
        <v>3361</v>
      </c>
      <c r="G48">
        <v>188</v>
      </c>
      <c r="H48">
        <v>358</v>
      </c>
      <c r="I48">
        <v>39838</v>
      </c>
      <c r="J48">
        <v>24536</v>
      </c>
      <c r="K48">
        <v>120</v>
      </c>
      <c r="L48" t="s">
        <v>58</v>
      </c>
      <c r="M48" t="s">
        <v>59</v>
      </c>
    </row>
    <row r="49" spans="1:13">
      <c r="A49" t="s">
        <v>88</v>
      </c>
      <c r="B49" t="s">
        <v>14</v>
      </c>
      <c r="C49" s="7">
        <v>45693</v>
      </c>
      <c r="D49" t="s">
        <v>25</v>
      </c>
      <c r="E49" t="s">
        <v>32</v>
      </c>
      <c r="F49">
        <v>3074</v>
      </c>
      <c r="G49">
        <v>371</v>
      </c>
      <c r="H49">
        <v>348</v>
      </c>
      <c r="I49">
        <v>24104</v>
      </c>
      <c r="J49">
        <v>57803</v>
      </c>
      <c r="K49">
        <v>213</v>
      </c>
      <c r="L49" t="s">
        <v>42</v>
      </c>
      <c r="M49" t="s">
        <v>55</v>
      </c>
    </row>
    <row r="50" spans="1:13">
      <c r="A50" t="s">
        <v>89</v>
      </c>
      <c r="B50" t="s">
        <v>24</v>
      </c>
      <c r="C50" s="7">
        <v>45533</v>
      </c>
      <c r="D50" t="s">
        <v>25</v>
      </c>
      <c r="E50" t="s">
        <v>37</v>
      </c>
      <c r="F50">
        <v>4276</v>
      </c>
      <c r="G50">
        <v>227</v>
      </c>
      <c r="H50">
        <v>223</v>
      </c>
      <c r="I50">
        <v>43443</v>
      </c>
      <c r="J50">
        <v>41005</v>
      </c>
      <c r="K50">
        <v>191</v>
      </c>
      <c r="L50" t="s">
        <v>39</v>
      </c>
      <c r="M50" t="s">
        <v>18</v>
      </c>
    </row>
    <row r="51" spans="1:13">
      <c r="A51" t="s">
        <v>90</v>
      </c>
      <c r="B51" t="s">
        <v>24</v>
      </c>
      <c r="C51" s="7">
        <v>45769</v>
      </c>
      <c r="D51" t="s">
        <v>15</v>
      </c>
      <c r="E51" t="s">
        <v>16</v>
      </c>
      <c r="F51">
        <v>4401</v>
      </c>
      <c r="G51">
        <v>421</v>
      </c>
      <c r="H51">
        <v>216</v>
      </c>
      <c r="I51">
        <v>24890</v>
      </c>
      <c r="J51">
        <v>54361</v>
      </c>
      <c r="K51">
        <v>148</v>
      </c>
      <c r="L51" t="s">
        <v>42</v>
      </c>
      <c r="M51" t="s">
        <v>18</v>
      </c>
    </row>
    <row r="52" spans="1:13">
      <c r="A52" t="s">
        <v>91</v>
      </c>
      <c r="B52" t="s">
        <v>31</v>
      </c>
      <c r="C52" s="7">
        <v>45425</v>
      </c>
      <c r="D52" t="s">
        <v>57</v>
      </c>
      <c r="E52" t="s">
        <v>20</v>
      </c>
      <c r="F52">
        <v>4161</v>
      </c>
      <c r="G52">
        <v>481</v>
      </c>
      <c r="H52">
        <v>61</v>
      </c>
      <c r="I52">
        <v>45884</v>
      </c>
      <c r="J52">
        <v>48955</v>
      </c>
      <c r="K52">
        <v>215</v>
      </c>
      <c r="L52" t="s">
        <v>58</v>
      </c>
      <c r="M52" t="s">
        <v>59</v>
      </c>
    </row>
    <row r="53" spans="1:13">
      <c r="A53" t="s">
        <v>92</v>
      </c>
      <c r="B53" t="s">
        <v>24</v>
      </c>
      <c r="C53" s="7">
        <v>45539</v>
      </c>
      <c r="D53" t="s">
        <v>25</v>
      </c>
      <c r="E53" t="s">
        <v>26</v>
      </c>
      <c r="F53">
        <v>2613</v>
      </c>
      <c r="G53">
        <v>455</v>
      </c>
      <c r="H53">
        <v>228</v>
      </c>
      <c r="I53">
        <v>21645</v>
      </c>
      <c r="J53">
        <v>61334</v>
      </c>
      <c r="K53">
        <v>261</v>
      </c>
      <c r="L53" t="s">
        <v>39</v>
      </c>
      <c r="M53" t="s">
        <v>18</v>
      </c>
    </row>
    <row r="54" spans="1:13">
      <c r="A54" t="s">
        <v>93</v>
      </c>
      <c r="B54" t="s">
        <v>24</v>
      </c>
      <c r="C54" s="7">
        <v>45516</v>
      </c>
      <c r="D54" t="s">
        <v>25</v>
      </c>
      <c r="E54" t="s">
        <v>35</v>
      </c>
      <c r="F54">
        <v>2842</v>
      </c>
      <c r="G54">
        <v>213</v>
      </c>
      <c r="H54">
        <v>331</v>
      </c>
      <c r="I54">
        <v>57660</v>
      </c>
      <c r="J54">
        <v>68606</v>
      </c>
      <c r="K54">
        <v>87</v>
      </c>
      <c r="L54" t="s">
        <v>27</v>
      </c>
      <c r="M54" t="s">
        <v>18</v>
      </c>
    </row>
    <row r="55" spans="1:13">
      <c r="A55" t="s">
        <v>94</v>
      </c>
      <c r="B55" t="s">
        <v>14</v>
      </c>
      <c r="C55" s="7">
        <v>45722</v>
      </c>
      <c r="D55" t="s">
        <v>15</v>
      </c>
      <c r="E55" t="s">
        <v>37</v>
      </c>
      <c r="F55">
        <v>4851</v>
      </c>
      <c r="G55">
        <v>460</v>
      </c>
      <c r="H55">
        <v>212</v>
      </c>
      <c r="I55">
        <v>58075</v>
      </c>
      <c r="J55">
        <v>59574</v>
      </c>
      <c r="K55">
        <v>239</v>
      </c>
      <c r="L55" t="s">
        <v>21</v>
      </c>
      <c r="M55" t="s">
        <v>22</v>
      </c>
    </row>
    <row r="56" spans="1:13">
      <c r="A56" t="s">
        <v>95</v>
      </c>
      <c r="B56" t="s">
        <v>24</v>
      </c>
      <c r="C56" s="7">
        <v>45420</v>
      </c>
      <c r="D56" t="s">
        <v>15</v>
      </c>
      <c r="E56" t="s">
        <v>20</v>
      </c>
      <c r="F56">
        <v>1828</v>
      </c>
      <c r="G56">
        <v>450</v>
      </c>
      <c r="H56">
        <v>214</v>
      </c>
      <c r="I56">
        <v>52115</v>
      </c>
      <c r="J56">
        <v>19166</v>
      </c>
      <c r="K56">
        <v>190</v>
      </c>
      <c r="L56" t="s">
        <v>42</v>
      </c>
      <c r="M56" t="s">
        <v>18</v>
      </c>
    </row>
    <row r="57" spans="1:13">
      <c r="A57" t="s">
        <v>96</v>
      </c>
      <c r="B57" t="s">
        <v>14</v>
      </c>
      <c r="C57" s="7">
        <v>45707</v>
      </c>
      <c r="D57" t="s">
        <v>25</v>
      </c>
      <c r="E57" t="s">
        <v>49</v>
      </c>
      <c r="F57">
        <v>2422</v>
      </c>
      <c r="G57">
        <v>455</v>
      </c>
      <c r="H57">
        <v>376</v>
      </c>
      <c r="I57">
        <v>23428</v>
      </c>
      <c r="J57">
        <v>46775</v>
      </c>
      <c r="K57">
        <v>259</v>
      </c>
      <c r="L57" t="s">
        <v>42</v>
      </c>
      <c r="M57" t="s">
        <v>55</v>
      </c>
    </row>
    <row r="58" spans="1:13">
      <c r="A58" t="s">
        <v>97</v>
      </c>
      <c r="B58" t="s">
        <v>14</v>
      </c>
      <c r="C58" s="7">
        <v>45299</v>
      </c>
      <c r="D58" t="s">
        <v>15</v>
      </c>
      <c r="E58" t="s">
        <v>41</v>
      </c>
      <c r="F58">
        <v>2683</v>
      </c>
      <c r="G58">
        <v>405</v>
      </c>
      <c r="H58">
        <v>223</v>
      </c>
      <c r="I58">
        <v>31233</v>
      </c>
      <c r="J58">
        <v>58106</v>
      </c>
      <c r="K58">
        <v>291</v>
      </c>
      <c r="L58" t="s">
        <v>21</v>
      </c>
      <c r="M58" t="s">
        <v>22</v>
      </c>
    </row>
    <row r="59" spans="1:13">
      <c r="A59" t="s">
        <v>98</v>
      </c>
      <c r="B59" t="s">
        <v>31</v>
      </c>
      <c r="C59" s="7">
        <v>45490</v>
      </c>
      <c r="D59" t="s">
        <v>15</v>
      </c>
      <c r="E59" t="s">
        <v>41</v>
      </c>
      <c r="F59">
        <v>3135</v>
      </c>
      <c r="G59">
        <v>110</v>
      </c>
      <c r="H59">
        <v>215</v>
      </c>
      <c r="I59">
        <v>39192</v>
      </c>
      <c r="J59">
        <v>24744</v>
      </c>
      <c r="K59">
        <v>177</v>
      </c>
      <c r="L59" t="s">
        <v>33</v>
      </c>
      <c r="M59" t="s">
        <v>22</v>
      </c>
    </row>
    <row r="60" spans="1:13">
      <c r="A60" t="s">
        <v>99</v>
      </c>
      <c r="B60" t="s">
        <v>31</v>
      </c>
      <c r="C60" s="7">
        <v>45514</v>
      </c>
      <c r="D60" t="s">
        <v>15</v>
      </c>
      <c r="E60" t="s">
        <v>49</v>
      </c>
      <c r="F60">
        <v>1105</v>
      </c>
      <c r="G60">
        <v>181</v>
      </c>
      <c r="H60">
        <v>55</v>
      </c>
      <c r="I60">
        <v>53581</v>
      </c>
      <c r="J60">
        <v>74048</v>
      </c>
      <c r="K60">
        <v>220</v>
      </c>
      <c r="L60" t="s">
        <v>33</v>
      </c>
      <c r="M60" t="s">
        <v>22</v>
      </c>
    </row>
    <row r="61" spans="1:13">
      <c r="A61" t="s">
        <v>100</v>
      </c>
      <c r="B61" t="s">
        <v>31</v>
      </c>
      <c r="C61" s="7">
        <v>45398</v>
      </c>
      <c r="D61" t="s">
        <v>15</v>
      </c>
      <c r="E61" t="s">
        <v>16</v>
      </c>
      <c r="F61">
        <v>4674</v>
      </c>
      <c r="G61">
        <v>326</v>
      </c>
      <c r="H61">
        <v>62</v>
      </c>
      <c r="I61">
        <v>45503</v>
      </c>
      <c r="J61">
        <v>46814</v>
      </c>
      <c r="K61">
        <v>116</v>
      </c>
      <c r="L61" t="s">
        <v>33</v>
      </c>
      <c r="M61" t="s">
        <v>22</v>
      </c>
    </row>
    <row r="62" spans="1:13">
      <c r="A62" t="s">
        <v>101</v>
      </c>
      <c r="B62" t="s">
        <v>31</v>
      </c>
      <c r="C62" s="7">
        <v>45292</v>
      </c>
      <c r="D62" t="s">
        <v>57</v>
      </c>
      <c r="E62" t="s">
        <v>20</v>
      </c>
      <c r="F62">
        <v>3437</v>
      </c>
      <c r="G62">
        <v>129</v>
      </c>
      <c r="H62">
        <v>359</v>
      </c>
      <c r="I62">
        <v>44558</v>
      </c>
      <c r="J62">
        <v>30854</v>
      </c>
      <c r="K62">
        <v>171</v>
      </c>
      <c r="L62" t="s">
        <v>58</v>
      </c>
      <c r="M62" t="s">
        <v>59</v>
      </c>
    </row>
    <row r="63" spans="1:13">
      <c r="A63" t="s">
        <v>102</v>
      </c>
      <c r="B63" t="s">
        <v>24</v>
      </c>
      <c r="C63" s="7">
        <v>45599</v>
      </c>
      <c r="D63" t="s">
        <v>25</v>
      </c>
      <c r="E63" t="s">
        <v>29</v>
      </c>
      <c r="F63">
        <v>1959</v>
      </c>
      <c r="G63">
        <v>316</v>
      </c>
      <c r="H63">
        <v>82</v>
      </c>
      <c r="I63">
        <v>54036</v>
      </c>
      <c r="J63">
        <v>69015</v>
      </c>
      <c r="K63">
        <v>182</v>
      </c>
      <c r="L63" t="s">
        <v>27</v>
      </c>
      <c r="M63" t="s">
        <v>18</v>
      </c>
    </row>
    <row r="64" spans="1:13">
      <c r="A64" t="s">
        <v>103</v>
      </c>
      <c r="B64" t="s">
        <v>24</v>
      </c>
      <c r="C64" s="7">
        <v>45480</v>
      </c>
      <c r="D64" t="s">
        <v>15</v>
      </c>
      <c r="E64" t="s">
        <v>26</v>
      </c>
      <c r="F64">
        <v>1035</v>
      </c>
      <c r="G64">
        <v>137</v>
      </c>
      <c r="H64">
        <v>184</v>
      </c>
      <c r="I64">
        <v>37302</v>
      </c>
      <c r="J64">
        <v>68953</v>
      </c>
      <c r="K64">
        <v>237</v>
      </c>
      <c r="L64" t="s">
        <v>45</v>
      </c>
      <c r="M64" t="s">
        <v>22</v>
      </c>
    </row>
    <row r="65" spans="1:13">
      <c r="A65" t="s">
        <v>104</v>
      </c>
      <c r="B65" t="s">
        <v>24</v>
      </c>
      <c r="C65" s="7">
        <v>45679</v>
      </c>
      <c r="D65" t="s">
        <v>25</v>
      </c>
      <c r="E65" t="s">
        <v>26</v>
      </c>
      <c r="F65">
        <v>4478</v>
      </c>
      <c r="G65">
        <v>101</v>
      </c>
      <c r="H65">
        <v>121</v>
      </c>
      <c r="I65">
        <v>51035</v>
      </c>
      <c r="J65">
        <v>58207</v>
      </c>
      <c r="K65">
        <v>205</v>
      </c>
      <c r="L65" t="s">
        <v>27</v>
      </c>
      <c r="M65" t="s">
        <v>18</v>
      </c>
    </row>
    <row r="66" spans="1:13">
      <c r="A66" t="s">
        <v>105</v>
      </c>
      <c r="B66" t="s">
        <v>31</v>
      </c>
      <c r="C66" s="7">
        <v>45438</v>
      </c>
      <c r="D66" t="s">
        <v>15</v>
      </c>
      <c r="E66" t="s">
        <v>49</v>
      </c>
      <c r="F66">
        <v>1488</v>
      </c>
      <c r="G66">
        <v>327</v>
      </c>
      <c r="H66">
        <v>110</v>
      </c>
      <c r="I66">
        <v>53805</v>
      </c>
      <c r="J66">
        <v>30239</v>
      </c>
      <c r="K66">
        <v>109</v>
      </c>
      <c r="L66" t="s">
        <v>33</v>
      </c>
      <c r="M66" t="s">
        <v>22</v>
      </c>
    </row>
    <row r="67" spans="1:13">
      <c r="A67" t="s">
        <v>106</v>
      </c>
      <c r="B67" t="s">
        <v>14</v>
      </c>
      <c r="C67" s="7">
        <v>45763</v>
      </c>
      <c r="D67" t="s">
        <v>15</v>
      </c>
      <c r="E67" t="s">
        <v>29</v>
      </c>
      <c r="F67">
        <v>4836</v>
      </c>
      <c r="G67">
        <v>331</v>
      </c>
      <c r="H67">
        <v>140</v>
      </c>
      <c r="I67">
        <v>58792</v>
      </c>
      <c r="J67">
        <v>47711</v>
      </c>
      <c r="K67">
        <v>227</v>
      </c>
      <c r="L67" t="s">
        <v>17</v>
      </c>
      <c r="M67" t="s">
        <v>18</v>
      </c>
    </row>
    <row r="68" spans="1:13">
      <c r="A68" t="s">
        <v>107</v>
      </c>
      <c r="B68" t="s">
        <v>31</v>
      </c>
      <c r="C68" s="7">
        <v>45384</v>
      </c>
      <c r="D68" t="s">
        <v>57</v>
      </c>
      <c r="E68" t="s">
        <v>51</v>
      </c>
      <c r="F68">
        <v>4563</v>
      </c>
      <c r="G68">
        <v>488</v>
      </c>
      <c r="H68">
        <v>356</v>
      </c>
      <c r="I68">
        <v>30619</v>
      </c>
      <c r="J68">
        <v>23328</v>
      </c>
      <c r="K68">
        <v>267</v>
      </c>
      <c r="L68" t="s">
        <v>58</v>
      </c>
      <c r="M68" t="s">
        <v>59</v>
      </c>
    </row>
    <row r="69" spans="1:13">
      <c r="A69" t="s">
        <v>108</v>
      </c>
      <c r="B69" t="s">
        <v>24</v>
      </c>
      <c r="C69" s="7">
        <v>45379</v>
      </c>
      <c r="D69" t="s">
        <v>15</v>
      </c>
      <c r="E69" t="s">
        <v>32</v>
      </c>
      <c r="F69">
        <v>3276</v>
      </c>
      <c r="G69">
        <v>421</v>
      </c>
      <c r="H69">
        <v>114</v>
      </c>
      <c r="I69">
        <v>20580</v>
      </c>
      <c r="J69">
        <v>30324</v>
      </c>
      <c r="K69">
        <v>221</v>
      </c>
      <c r="L69" t="s">
        <v>45</v>
      </c>
      <c r="M69" t="s">
        <v>22</v>
      </c>
    </row>
    <row r="70" spans="1:13">
      <c r="A70" t="s">
        <v>109</v>
      </c>
      <c r="B70" t="s">
        <v>24</v>
      </c>
      <c r="C70" s="7">
        <v>45643</v>
      </c>
      <c r="D70" t="s">
        <v>25</v>
      </c>
      <c r="E70" t="s">
        <v>32</v>
      </c>
      <c r="F70">
        <v>1316</v>
      </c>
      <c r="G70">
        <v>472</v>
      </c>
      <c r="H70">
        <v>286</v>
      </c>
      <c r="I70">
        <v>44692</v>
      </c>
      <c r="J70">
        <v>53343</v>
      </c>
      <c r="K70">
        <v>227</v>
      </c>
      <c r="L70" t="s">
        <v>39</v>
      </c>
      <c r="M70" t="s">
        <v>18</v>
      </c>
    </row>
    <row r="71" spans="1:13">
      <c r="A71" t="s">
        <v>110</v>
      </c>
      <c r="B71" t="s">
        <v>24</v>
      </c>
      <c r="C71" s="7">
        <v>45662</v>
      </c>
      <c r="D71" t="s">
        <v>15</v>
      </c>
      <c r="E71" t="s">
        <v>29</v>
      </c>
      <c r="F71">
        <v>4811</v>
      </c>
      <c r="G71">
        <v>473</v>
      </c>
      <c r="H71">
        <v>254</v>
      </c>
      <c r="I71">
        <v>51964</v>
      </c>
      <c r="J71">
        <v>68795</v>
      </c>
      <c r="K71">
        <v>107</v>
      </c>
      <c r="L71" t="s">
        <v>42</v>
      </c>
      <c r="M71" t="s">
        <v>18</v>
      </c>
    </row>
    <row r="72" spans="1:13">
      <c r="A72" t="s">
        <v>111</v>
      </c>
      <c r="B72" t="s">
        <v>24</v>
      </c>
      <c r="C72" s="7">
        <v>45302</v>
      </c>
      <c r="D72" t="s">
        <v>15</v>
      </c>
      <c r="E72" t="s">
        <v>35</v>
      </c>
      <c r="F72">
        <v>4218</v>
      </c>
      <c r="G72">
        <v>247</v>
      </c>
      <c r="H72">
        <v>183</v>
      </c>
      <c r="I72">
        <v>28914</v>
      </c>
      <c r="J72">
        <v>18310</v>
      </c>
      <c r="K72">
        <v>135</v>
      </c>
      <c r="L72" t="s">
        <v>45</v>
      </c>
      <c r="M72" t="s">
        <v>22</v>
      </c>
    </row>
    <row r="73" spans="1:13">
      <c r="A73" t="s">
        <v>112</v>
      </c>
      <c r="B73" t="s">
        <v>14</v>
      </c>
      <c r="C73" s="7">
        <v>45576</v>
      </c>
      <c r="D73" t="s">
        <v>15</v>
      </c>
      <c r="E73" t="s">
        <v>49</v>
      </c>
      <c r="F73">
        <v>1360</v>
      </c>
      <c r="G73">
        <v>249</v>
      </c>
      <c r="H73">
        <v>52</v>
      </c>
      <c r="I73">
        <v>20368</v>
      </c>
      <c r="J73">
        <v>42152</v>
      </c>
      <c r="K73">
        <v>193</v>
      </c>
      <c r="L73" t="s">
        <v>21</v>
      </c>
      <c r="M73" t="s">
        <v>22</v>
      </c>
    </row>
    <row r="74" spans="1:13">
      <c r="A74" t="s">
        <v>113</v>
      </c>
      <c r="B74" t="s">
        <v>31</v>
      </c>
      <c r="C74" s="7">
        <v>45783</v>
      </c>
      <c r="D74" t="s">
        <v>57</v>
      </c>
      <c r="E74" t="s">
        <v>16</v>
      </c>
      <c r="F74">
        <v>1085</v>
      </c>
      <c r="G74">
        <v>496</v>
      </c>
      <c r="H74">
        <v>320</v>
      </c>
      <c r="I74">
        <v>36528</v>
      </c>
      <c r="J74">
        <v>38599</v>
      </c>
      <c r="K74">
        <v>270</v>
      </c>
      <c r="L74" t="s">
        <v>58</v>
      </c>
      <c r="M74" t="s">
        <v>59</v>
      </c>
    </row>
    <row r="75" spans="1:13">
      <c r="A75" t="s">
        <v>114</v>
      </c>
      <c r="B75" t="s">
        <v>24</v>
      </c>
      <c r="C75" s="7">
        <v>45431</v>
      </c>
      <c r="D75" t="s">
        <v>25</v>
      </c>
      <c r="E75" t="s">
        <v>37</v>
      </c>
      <c r="F75">
        <v>1763</v>
      </c>
      <c r="G75">
        <v>206</v>
      </c>
      <c r="H75">
        <v>187</v>
      </c>
      <c r="I75">
        <v>53342</v>
      </c>
      <c r="J75">
        <v>25095</v>
      </c>
      <c r="K75">
        <v>88</v>
      </c>
      <c r="L75" t="s">
        <v>39</v>
      </c>
      <c r="M75" t="s">
        <v>18</v>
      </c>
    </row>
    <row r="76" spans="1:13">
      <c r="A76" t="s">
        <v>115</v>
      </c>
      <c r="B76" t="s">
        <v>24</v>
      </c>
      <c r="C76" s="7">
        <v>45313</v>
      </c>
      <c r="D76" t="s">
        <v>25</v>
      </c>
      <c r="E76" t="s">
        <v>49</v>
      </c>
      <c r="F76">
        <v>1554</v>
      </c>
      <c r="G76">
        <v>455</v>
      </c>
      <c r="H76">
        <v>158</v>
      </c>
      <c r="I76">
        <v>41947</v>
      </c>
      <c r="J76">
        <v>48578</v>
      </c>
      <c r="K76">
        <v>101</v>
      </c>
      <c r="L76" t="s">
        <v>17</v>
      </c>
      <c r="M76" t="s">
        <v>18</v>
      </c>
    </row>
    <row r="77" spans="1:13">
      <c r="A77" t="s">
        <v>116</v>
      </c>
      <c r="B77" t="s">
        <v>14</v>
      </c>
      <c r="C77" s="7">
        <v>45487</v>
      </c>
      <c r="D77" t="s">
        <v>15</v>
      </c>
      <c r="E77" t="s">
        <v>29</v>
      </c>
      <c r="F77">
        <v>2464</v>
      </c>
      <c r="G77">
        <v>401</v>
      </c>
      <c r="H77">
        <v>78</v>
      </c>
      <c r="I77">
        <v>38665</v>
      </c>
      <c r="J77">
        <v>73593</v>
      </c>
      <c r="K77">
        <v>207</v>
      </c>
      <c r="L77" t="s">
        <v>21</v>
      </c>
      <c r="M77" t="s">
        <v>22</v>
      </c>
    </row>
    <row r="78" spans="1:13">
      <c r="A78" t="s">
        <v>117</v>
      </c>
      <c r="B78" t="s">
        <v>24</v>
      </c>
      <c r="C78" s="7">
        <v>45805</v>
      </c>
      <c r="D78" t="s">
        <v>15</v>
      </c>
      <c r="E78" t="s">
        <v>49</v>
      </c>
      <c r="F78">
        <v>2418</v>
      </c>
      <c r="G78">
        <v>161</v>
      </c>
      <c r="H78">
        <v>360</v>
      </c>
      <c r="I78">
        <v>30589</v>
      </c>
      <c r="J78">
        <v>41383</v>
      </c>
      <c r="K78">
        <v>88</v>
      </c>
      <c r="L78" t="s">
        <v>42</v>
      </c>
      <c r="M78" t="s">
        <v>18</v>
      </c>
    </row>
    <row r="79" spans="1:13">
      <c r="A79" t="s">
        <v>118</v>
      </c>
      <c r="B79" t="s">
        <v>24</v>
      </c>
      <c r="C79" s="7">
        <v>45678</v>
      </c>
      <c r="D79" t="s">
        <v>25</v>
      </c>
      <c r="E79" t="s">
        <v>16</v>
      </c>
      <c r="F79">
        <v>2494</v>
      </c>
      <c r="G79">
        <v>494</v>
      </c>
      <c r="H79">
        <v>55</v>
      </c>
      <c r="I79">
        <v>22580</v>
      </c>
      <c r="J79">
        <v>22214</v>
      </c>
      <c r="K79">
        <v>109</v>
      </c>
      <c r="L79" t="s">
        <v>27</v>
      </c>
      <c r="M79" t="s">
        <v>18</v>
      </c>
    </row>
    <row r="80" spans="1:13">
      <c r="A80" t="s">
        <v>119</v>
      </c>
      <c r="B80" t="s">
        <v>31</v>
      </c>
      <c r="C80" s="7">
        <v>45304</v>
      </c>
      <c r="D80" t="s">
        <v>57</v>
      </c>
      <c r="E80" t="s">
        <v>26</v>
      </c>
      <c r="F80">
        <v>4781</v>
      </c>
      <c r="G80">
        <v>191</v>
      </c>
      <c r="H80">
        <v>122</v>
      </c>
      <c r="I80">
        <v>35535</v>
      </c>
      <c r="J80">
        <v>50777</v>
      </c>
      <c r="K80">
        <v>128</v>
      </c>
      <c r="L80" t="s">
        <v>58</v>
      </c>
      <c r="M80" t="s">
        <v>59</v>
      </c>
    </row>
    <row r="81" spans="1:13">
      <c r="A81" t="s">
        <v>120</v>
      </c>
      <c r="B81" t="s">
        <v>14</v>
      </c>
      <c r="C81" s="7">
        <v>45825</v>
      </c>
      <c r="D81" t="s">
        <v>15</v>
      </c>
      <c r="E81" t="s">
        <v>32</v>
      </c>
      <c r="F81">
        <v>2284</v>
      </c>
      <c r="G81">
        <v>187</v>
      </c>
      <c r="H81">
        <v>260</v>
      </c>
      <c r="I81">
        <v>37400</v>
      </c>
      <c r="J81">
        <v>65014</v>
      </c>
      <c r="K81">
        <v>157</v>
      </c>
      <c r="L81" t="s">
        <v>17</v>
      </c>
      <c r="M81" t="s">
        <v>18</v>
      </c>
    </row>
    <row r="82" spans="1:13">
      <c r="A82" t="s">
        <v>121</v>
      </c>
      <c r="B82" t="s">
        <v>24</v>
      </c>
      <c r="C82" s="7">
        <v>45723</v>
      </c>
      <c r="D82" t="s">
        <v>15</v>
      </c>
      <c r="E82" t="s">
        <v>37</v>
      </c>
      <c r="F82">
        <v>4234</v>
      </c>
      <c r="G82">
        <v>486</v>
      </c>
      <c r="H82">
        <v>276</v>
      </c>
      <c r="I82">
        <v>56623</v>
      </c>
      <c r="J82">
        <v>41343</v>
      </c>
      <c r="K82">
        <v>184</v>
      </c>
      <c r="L82" t="s">
        <v>45</v>
      </c>
      <c r="M82" t="s">
        <v>22</v>
      </c>
    </row>
    <row r="83" spans="1:13">
      <c r="A83" t="s">
        <v>122</v>
      </c>
      <c r="B83" t="s">
        <v>14</v>
      </c>
      <c r="C83" s="7">
        <v>45530</v>
      </c>
      <c r="D83" t="s">
        <v>15</v>
      </c>
      <c r="E83" t="s">
        <v>51</v>
      </c>
      <c r="F83">
        <v>2102</v>
      </c>
      <c r="G83">
        <v>181</v>
      </c>
      <c r="H83">
        <v>306</v>
      </c>
      <c r="I83">
        <v>43650</v>
      </c>
      <c r="J83">
        <v>50079</v>
      </c>
      <c r="K83">
        <v>182</v>
      </c>
      <c r="L83" t="s">
        <v>21</v>
      </c>
      <c r="M83" t="s">
        <v>22</v>
      </c>
    </row>
    <row r="84" spans="1:13">
      <c r="A84" t="s">
        <v>123</v>
      </c>
      <c r="B84" t="s">
        <v>24</v>
      </c>
      <c r="C84" s="7">
        <v>45660</v>
      </c>
      <c r="D84" t="s">
        <v>25</v>
      </c>
      <c r="E84" t="s">
        <v>37</v>
      </c>
      <c r="F84">
        <v>4845</v>
      </c>
      <c r="G84">
        <v>158</v>
      </c>
      <c r="H84">
        <v>84</v>
      </c>
      <c r="I84">
        <v>34578</v>
      </c>
      <c r="J84">
        <v>51480</v>
      </c>
      <c r="K84">
        <v>180</v>
      </c>
      <c r="L84" t="s">
        <v>17</v>
      </c>
      <c r="M84" t="s">
        <v>18</v>
      </c>
    </row>
    <row r="85" spans="1:13">
      <c r="A85" t="s">
        <v>124</v>
      </c>
      <c r="B85" t="s">
        <v>24</v>
      </c>
      <c r="C85" s="7">
        <v>45507</v>
      </c>
      <c r="D85" t="s">
        <v>15</v>
      </c>
      <c r="E85" t="s">
        <v>51</v>
      </c>
      <c r="F85">
        <v>4247</v>
      </c>
      <c r="G85">
        <v>390</v>
      </c>
      <c r="H85">
        <v>213</v>
      </c>
      <c r="I85">
        <v>29785</v>
      </c>
      <c r="J85">
        <v>57768</v>
      </c>
      <c r="K85">
        <v>122</v>
      </c>
      <c r="L85" t="s">
        <v>42</v>
      </c>
      <c r="M85" t="s">
        <v>18</v>
      </c>
    </row>
    <row r="86" spans="1:13">
      <c r="A86" t="s">
        <v>125</v>
      </c>
      <c r="B86" t="s">
        <v>14</v>
      </c>
      <c r="C86" s="7">
        <v>45522</v>
      </c>
      <c r="D86" t="s">
        <v>15</v>
      </c>
      <c r="E86" t="s">
        <v>20</v>
      </c>
      <c r="F86">
        <v>2965</v>
      </c>
      <c r="G86">
        <v>328</v>
      </c>
      <c r="H86">
        <v>171</v>
      </c>
      <c r="I86">
        <v>57685</v>
      </c>
      <c r="J86">
        <v>67536</v>
      </c>
      <c r="K86">
        <v>264</v>
      </c>
      <c r="L86" t="s">
        <v>17</v>
      </c>
      <c r="M86" t="s">
        <v>18</v>
      </c>
    </row>
    <row r="87" spans="1:13">
      <c r="A87" t="s">
        <v>126</v>
      </c>
      <c r="B87" t="s">
        <v>24</v>
      </c>
      <c r="C87" s="7">
        <v>45791</v>
      </c>
      <c r="D87" t="s">
        <v>25</v>
      </c>
      <c r="E87" t="s">
        <v>29</v>
      </c>
      <c r="F87">
        <v>1371</v>
      </c>
      <c r="G87">
        <v>139</v>
      </c>
      <c r="H87">
        <v>96</v>
      </c>
      <c r="I87">
        <v>36140</v>
      </c>
      <c r="J87">
        <v>39395</v>
      </c>
      <c r="K87">
        <v>169</v>
      </c>
      <c r="L87" t="s">
        <v>17</v>
      </c>
      <c r="M87" t="s">
        <v>18</v>
      </c>
    </row>
    <row r="88" spans="1:13">
      <c r="A88" t="s">
        <v>127</v>
      </c>
      <c r="B88" t="s">
        <v>24</v>
      </c>
      <c r="C88" s="7">
        <v>45405</v>
      </c>
      <c r="D88" t="s">
        <v>25</v>
      </c>
      <c r="E88" t="s">
        <v>16</v>
      </c>
      <c r="F88">
        <v>2683</v>
      </c>
      <c r="G88">
        <v>496</v>
      </c>
      <c r="H88">
        <v>89</v>
      </c>
      <c r="I88">
        <v>53435</v>
      </c>
      <c r="J88">
        <v>30334</v>
      </c>
      <c r="K88">
        <v>160</v>
      </c>
      <c r="L88" t="s">
        <v>17</v>
      </c>
      <c r="M88" t="s">
        <v>18</v>
      </c>
    </row>
    <row r="89" spans="1:13">
      <c r="A89" t="s">
        <v>128</v>
      </c>
      <c r="B89" t="s">
        <v>24</v>
      </c>
      <c r="C89" s="7">
        <v>45705</v>
      </c>
      <c r="D89" t="s">
        <v>25</v>
      </c>
      <c r="E89" t="s">
        <v>35</v>
      </c>
      <c r="F89">
        <v>4796</v>
      </c>
      <c r="G89">
        <v>427</v>
      </c>
      <c r="H89">
        <v>339</v>
      </c>
      <c r="I89">
        <v>30752</v>
      </c>
      <c r="J89">
        <v>33870</v>
      </c>
      <c r="K89">
        <v>298</v>
      </c>
      <c r="L89" t="s">
        <v>17</v>
      </c>
      <c r="M89" t="s">
        <v>18</v>
      </c>
    </row>
    <row r="90" spans="1:13">
      <c r="A90" t="s">
        <v>129</v>
      </c>
      <c r="B90" t="s">
        <v>14</v>
      </c>
      <c r="C90" s="7">
        <v>45630</v>
      </c>
      <c r="D90" t="s">
        <v>15</v>
      </c>
      <c r="E90" t="s">
        <v>29</v>
      </c>
      <c r="F90">
        <v>2601</v>
      </c>
      <c r="G90">
        <v>336</v>
      </c>
      <c r="H90">
        <v>260</v>
      </c>
      <c r="I90">
        <v>32368</v>
      </c>
      <c r="J90">
        <v>49028</v>
      </c>
      <c r="K90">
        <v>120</v>
      </c>
      <c r="L90" t="s">
        <v>17</v>
      </c>
      <c r="M90" t="s">
        <v>18</v>
      </c>
    </row>
    <row r="91" spans="1:13">
      <c r="A91" t="s">
        <v>130</v>
      </c>
      <c r="B91" t="s">
        <v>24</v>
      </c>
      <c r="C91" s="7">
        <v>45495</v>
      </c>
      <c r="D91" t="s">
        <v>25</v>
      </c>
      <c r="E91" t="s">
        <v>29</v>
      </c>
      <c r="F91">
        <v>3336</v>
      </c>
      <c r="G91">
        <v>229</v>
      </c>
      <c r="H91">
        <v>337</v>
      </c>
      <c r="I91">
        <v>22117</v>
      </c>
      <c r="J91">
        <v>26205</v>
      </c>
      <c r="K91">
        <v>160</v>
      </c>
      <c r="L91" t="s">
        <v>27</v>
      </c>
      <c r="M91" t="s">
        <v>18</v>
      </c>
    </row>
    <row r="92" spans="1:13">
      <c r="A92" t="s">
        <v>131</v>
      </c>
      <c r="B92" t="s">
        <v>24</v>
      </c>
      <c r="C92" s="7">
        <v>45774</v>
      </c>
      <c r="D92" t="s">
        <v>15</v>
      </c>
      <c r="E92" t="s">
        <v>20</v>
      </c>
      <c r="F92">
        <v>1165</v>
      </c>
      <c r="G92">
        <v>294</v>
      </c>
      <c r="H92">
        <v>163</v>
      </c>
      <c r="I92">
        <v>20659</v>
      </c>
      <c r="J92">
        <v>45926</v>
      </c>
      <c r="K92">
        <v>111</v>
      </c>
      <c r="L92" t="s">
        <v>45</v>
      </c>
      <c r="M92" t="s">
        <v>22</v>
      </c>
    </row>
    <row r="93" spans="1:13">
      <c r="A93" t="s">
        <v>132</v>
      </c>
      <c r="B93" t="s">
        <v>31</v>
      </c>
      <c r="C93" s="7">
        <v>45376</v>
      </c>
      <c r="D93" t="s">
        <v>57</v>
      </c>
      <c r="E93" t="s">
        <v>20</v>
      </c>
      <c r="F93">
        <v>1948</v>
      </c>
      <c r="G93">
        <v>155</v>
      </c>
      <c r="H93">
        <v>315</v>
      </c>
      <c r="I93">
        <v>30321</v>
      </c>
      <c r="J93">
        <v>57121</v>
      </c>
      <c r="K93">
        <v>82</v>
      </c>
      <c r="L93" t="s">
        <v>58</v>
      </c>
      <c r="M93" t="s">
        <v>59</v>
      </c>
    </row>
    <row r="94" spans="1:13">
      <c r="A94" t="s">
        <v>133</v>
      </c>
      <c r="B94" t="s">
        <v>14</v>
      </c>
      <c r="C94" s="7">
        <v>45351</v>
      </c>
      <c r="D94" t="s">
        <v>15</v>
      </c>
      <c r="E94" t="s">
        <v>49</v>
      </c>
      <c r="F94">
        <v>1100</v>
      </c>
      <c r="G94">
        <v>229</v>
      </c>
      <c r="H94">
        <v>312</v>
      </c>
      <c r="I94">
        <v>25641</v>
      </c>
      <c r="J94">
        <v>34601</v>
      </c>
      <c r="K94">
        <v>169</v>
      </c>
      <c r="L94" t="s">
        <v>21</v>
      </c>
      <c r="M94" t="s">
        <v>22</v>
      </c>
    </row>
    <row r="95" spans="1:13">
      <c r="A95" t="s">
        <v>134</v>
      </c>
      <c r="B95" t="s">
        <v>24</v>
      </c>
      <c r="C95" s="7">
        <v>45609</v>
      </c>
      <c r="D95" t="s">
        <v>25</v>
      </c>
      <c r="E95" t="s">
        <v>41</v>
      </c>
      <c r="F95">
        <v>4628</v>
      </c>
      <c r="G95">
        <v>257</v>
      </c>
      <c r="H95">
        <v>397</v>
      </c>
      <c r="I95">
        <v>36686</v>
      </c>
      <c r="J95">
        <v>54683</v>
      </c>
      <c r="K95">
        <v>98</v>
      </c>
      <c r="L95" t="s">
        <v>17</v>
      </c>
      <c r="M95" t="s">
        <v>18</v>
      </c>
    </row>
    <row r="96" spans="1:13">
      <c r="A96" t="s">
        <v>135</v>
      </c>
      <c r="B96" t="s">
        <v>14</v>
      </c>
      <c r="C96" s="7">
        <v>45373</v>
      </c>
      <c r="D96" t="s">
        <v>25</v>
      </c>
      <c r="E96" t="s">
        <v>16</v>
      </c>
      <c r="F96">
        <v>2319</v>
      </c>
      <c r="G96">
        <v>484</v>
      </c>
      <c r="H96">
        <v>193</v>
      </c>
      <c r="I96">
        <v>21202</v>
      </c>
      <c r="J96">
        <v>18091</v>
      </c>
      <c r="K96">
        <v>241</v>
      </c>
      <c r="L96" t="s">
        <v>42</v>
      </c>
      <c r="M96" t="s">
        <v>55</v>
      </c>
    </row>
    <row r="97" spans="1:13">
      <c r="A97" t="s">
        <v>136</v>
      </c>
      <c r="B97" t="s">
        <v>24</v>
      </c>
      <c r="C97" s="7">
        <v>45367</v>
      </c>
      <c r="D97" t="s">
        <v>25</v>
      </c>
      <c r="E97" t="s">
        <v>29</v>
      </c>
      <c r="F97">
        <v>2895</v>
      </c>
      <c r="G97">
        <v>292</v>
      </c>
      <c r="H97">
        <v>90</v>
      </c>
      <c r="I97">
        <v>24223</v>
      </c>
      <c r="J97">
        <v>54626</v>
      </c>
      <c r="K97">
        <v>114</v>
      </c>
      <c r="L97" t="s">
        <v>17</v>
      </c>
      <c r="M97" t="s">
        <v>18</v>
      </c>
    </row>
    <row r="98" spans="1:13">
      <c r="A98" t="s">
        <v>137</v>
      </c>
      <c r="B98" t="s">
        <v>14</v>
      </c>
      <c r="C98" s="7">
        <v>45317</v>
      </c>
      <c r="D98" t="s">
        <v>15</v>
      </c>
      <c r="E98" t="s">
        <v>35</v>
      </c>
      <c r="F98">
        <v>3878</v>
      </c>
      <c r="G98">
        <v>431</v>
      </c>
      <c r="H98">
        <v>97</v>
      </c>
      <c r="I98">
        <v>41763</v>
      </c>
      <c r="J98">
        <v>29729</v>
      </c>
      <c r="K98">
        <v>191</v>
      </c>
      <c r="L98" t="s">
        <v>21</v>
      </c>
      <c r="M98" t="s">
        <v>22</v>
      </c>
    </row>
    <row r="99" spans="1:13">
      <c r="A99" t="s">
        <v>138</v>
      </c>
      <c r="B99" t="s">
        <v>24</v>
      </c>
      <c r="C99" s="7">
        <v>45366</v>
      </c>
      <c r="D99" t="s">
        <v>25</v>
      </c>
      <c r="E99" t="s">
        <v>37</v>
      </c>
      <c r="F99">
        <v>4969</v>
      </c>
      <c r="G99">
        <v>433</v>
      </c>
      <c r="H99">
        <v>237</v>
      </c>
      <c r="I99">
        <v>59552</v>
      </c>
      <c r="J99">
        <v>23885</v>
      </c>
      <c r="K99">
        <v>157</v>
      </c>
      <c r="L99" t="s">
        <v>39</v>
      </c>
      <c r="M99" t="s">
        <v>18</v>
      </c>
    </row>
    <row r="100" spans="1:13">
      <c r="A100" t="s">
        <v>139</v>
      </c>
      <c r="B100" t="s">
        <v>24</v>
      </c>
      <c r="C100" s="7">
        <v>45580</v>
      </c>
      <c r="D100" t="s">
        <v>15</v>
      </c>
      <c r="E100" t="s">
        <v>29</v>
      </c>
      <c r="F100">
        <v>1984</v>
      </c>
      <c r="G100">
        <v>481</v>
      </c>
      <c r="H100">
        <v>356</v>
      </c>
      <c r="I100">
        <v>40681</v>
      </c>
      <c r="J100">
        <v>63111</v>
      </c>
      <c r="K100">
        <v>258</v>
      </c>
      <c r="L100" t="s">
        <v>42</v>
      </c>
      <c r="M100" t="s">
        <v>18</v>
      </c>
    </row>
    <row r="101" spans="1:13">
      <c r="A101" t="s">
        <v>140</v>
      </c>
      <c r="B101" t="s">
        <v>14</v>
      </c>
      <c r="C101" s="7">
        <v>45494</v>
      </c>
      <c r="D101" t="s">
        <v>15</v>
      </c>
      <c r="E101" t="s">
        <v>16</v>
      </c>
      <c r="F101">
        <v>3004</v>
      </c>
      <c r="G101">
        <v>415</v>
      </c>
      <c r="H101">
        <v>218</v>
      </c>
      <c r="I101">
        <v>36090</v>
      </c>
      <c r="J101">
        <v>37073</v>
      </c>
      <c r="K101">
        <v>181</v>
      </c>
      <c r="L101" t="s">
        <v>21</v>
      </c>
      <c r="M101" t="s">
        <v>22</v>
      </c>
    </row>
    <row r="102" spans="1:13">
      <c r="A102" t="s">
        <v>141</v>
      </c>
      <c r="B102" t="s">
        <v>24</v>
      </c>
      <c r="C102" s="7">
        <v>45577</v>
      </c>
      <c r="D102" t="s">
        <v>15</v>
      </c>
      <c r="E102" t="s">
        <v>37</v>
      </c>
      <c r="F102">
        <v>3169</v>
      </c>
      <c r="G102">
        <v>386</v>
      </c>
      <c r="H102">
        <v>175</v>
      </c>
      <c r="I102">
        <v>45012</v>
      </c>
      <c r="J102">
        <v>38508</v>
      </c>
      <c r="K102">
        <v>218</v>
      </c>
      <c r="L102" t="s">
        <v>42</v>
      </c>
      <c r="M102" t="s">
        <v>18</v>
      </c>
    </row>
    <row r="103" spans="1:13">
      <c r="A103" t="s">
        <v>142</v>
      </c>
      <c r="B103" t="s">
        <v>24</v>
      </c>
      <c r="C103" s="7">
        <v>45591</v>
      </c>
      <c r="D103" t="s">
        <v>15</v>
      </c>
      <c r="E103" t="s">
        <v>16</v>
      </c>
      <c r="F103">
        <v>3036</v>
      </c>
      <c r="G103">
        <v>293</v>
      </c>
      <c r="H103">
        <v>115</v>
      </c>
      <c r="I103">
        <v>23776</v>
      </c>
      <c r="J103">
        <v>46386</v>
      </c>
      <c r="K103">
        <v>282</v>
      </c>
      <c r="L103" t="s">
        <v>42</v>
      </c>
      <c r="M103" t="s">
        <v>18</v>
      </c>
    </row>
    <row r="104" spans="1:13">
      <c r="A104" t="s">
        <v>143</v>
      </c>
      <c r="B104" t="s">
        <v>14</v>
      </c>
      <c r="C104" s="7">
        <v>45336</v>
      </c>
      <c r="D104" t="s">
        <v>15</v>
      </c>
      <c r="E104" t="s">
        <v>32</v>
      </c>
      <c r="F104">
        <v>1830</v>
      </c>
      <c r="G104">
        <v>112</v>
      </c>
      <c r="H104">
        <v>181</v>
      </c>
      <c r="I104">
        <v>31870</v>
      </c>
      <c r="J104">
        <v>55742</v>
      </c>
      <c r="K104">
        <v>263</v>
      </c>
      <c r="L104" t="s">
        <v>17</v>
      </c>
      <c r="M104" t="s">
        <v>18</v>
      </c>
    </row>
    <row r="105" spans="1:13">
      <c r="A105" t="s">
        <v>144</v>
      </c>
      <c r="B105" t="s">
        <v>24</v>
      </c>
      <c r="C105" s="7">
        <v>45413</v>
      </c>
      <c r="D105" t="s">
        <v>25</v>
      </c>
      <c r="E105" t="s">
        <v>35</v>
      </c>
      <c r="F105">
        <v>2587</v>
      </c>
      <c r="G105">
        <v>447</v>
      </c>
      <c r="H105">
        <v>183</v>
      </c>
      <c r="I105">
        <v>36266</v>
      </c>
      <c r="J105">
        <v>32877</v>
      </c>
      <c r="K105">
        <v>132</v>
      </c>
      <c r="L105" t="s">
        <v>39</v>
      </c>
      <c r="M105" t="s">
        <v>18</v>
      </c>
    </row>
    <row r="106" spans="1:13">
      <c r="A106" t="s">
        <v>145</v>
      </c>
      <c r="B106" t="s">
        <v>24</v>
      </c>
      <c r="C106" s="7">
        <v>45553</v>
      </c>
      <c r="D106" t="s">
        <v>15</v>
      </c>
      <c r="E106" t="s">
        <v>16</v>
      </c>
      <c r="F106">
        <v>2878</v>
      </c>
      <c r="G106">
        <v>265</v>
      </c>
      <c r="H106">
        <v>91</v>
      </c>
      <c r="I106">
        <v>52090</v>
      </c>
      <c r="J106">
        <v>28924</v>
      </c>
      <c r="K106">
        <v>133</v>
      </c>
      <c r="L106" t="s">
        <v>42</v>
      </c>
      <c r="M106" t="s">
        <v>18</v>
      </c>
    </row>
    <row r="107" spans="1:13">
      <c r="A107" t="s">
        <v>146</v>
      </c>
      <c r="B107" t="s">
        <v>24</v>
      </c>
      <c r="C107" s="7">
        <v>45677</v>
      </c>
      <c r="D107" t="s">
        <v>25</v>
      </c>
      <c r="E107" t="s">
        <v>26</v>
      </c>
      <c r="F107">
        <v>4619</v>
      </c>
      <c r="G107">
        <v>272</v>
      </c>
      <c r="H107">
        <v>57</v>
      </c>
      <c r="I107">
        <v>21334</v>
      </c>
      <c r="J107">
        <v>46292</v>
      </c>
      <c r="K107">
        <v>91</v>
      </c>
      <c r="L107" t="s">
        <v>17</v>
      </c>
      <c r="M107" t="s">
        <v>18</v>
      </c>
    </row>
    <row r="108" spans="1:13">
      <c r="A108" t="s">
        <v>147</v>
      </c>
      <c r="B108" t="s">
        <v>24</v>
      </c>
      <c r="C108" s="7">
        <v>45670</v>
      </c>
      <c r="D108" t="s">
        <v>15</v>
      </c>
      <c r="E108" t="s">
        <v>32</v>
      </c>
      <c r="F108">
        <v>4090</v>
      </c>
      <c r="G108">
        <v>209</v>
      </c>
      <c r="H108">
        <v>278</v>
      </c>
      <c r="I108">
        <v>52853</v>
      </c>
      <c r="J108">
        <v>57084</v>
      </c>
      <c r="K108">
        <v>102</v>
      </c>
      <c r="L108" t="s">
        <v>45</v>
      </c>
      <c r="M108" t="s">
        <v>22</v>
      </c>
    </row>
    <row r="109" spans="1:13">
      <c r="A109" t="s">
        <v>148</v>
      </c>
      <c r="B109" t="s">
        <v>31</v>
      </c>
      <c r="C109" s="7">
        <v>45542</v>
      </c>
      <c r="D109" t="s">
        <v>57</v>
      </c>
      <c r="E109" t="s">
        <v>32</v>
      </c>
      <c r="F109">
        <v>3882</v>
      </c>
      <c r="G109">
        <v>342</v>
      </c>
      <c r="H109">
        <v>374</v>
      </c>
      <c r="I109">
        <v>41991</v>
      </c>
      <c r="J109">
        <v>48554</v>
      </c>
      <c r="K109">
        <v>118</v>
      </c>
      <c r="L109" t="s">
        <v>58</v>
      </c>
      <c r="M109" t="s">
        <v>59</v>
      </c>
    </row>
    <row r="110" spans="1:13">
      <c r="A110" t="s">
        <v>149</v>
      </c>
      <c r="B110" t="s">
        <v>14</v>
      </c>
      <c r="C110" s="7">
        <v>45617</v>
      </c>
      <c r="D110" t="s">
        <v>15</v>
      </c>
      <c r="E110" t="s">
        <v>32</v>
      </c>
      <c r="F110">
        <v>4581</v>
      </c>
      <c r="G110">
        <v>181</v>
      </c>
      <c r="H110">
        <v>112</v>
      </c>
      <c r="I110">
        <v>35221</v>
      </c>
      <c r="J110">
        <v>28797</v>
      </c>
      <c r="K110">
        <v>164</v>
      </c>
      <c r="L110" t="s">
        <v>17</v>
      </c>
      <c r="M110" t="s">
        <v>18</v>
      </c>
    </row>
    <row r="111" spans="1:13">
      <c r="A111" t="s">
        <v>150</v>
      </c>
      <c r="B111" t="s">
        <v>14</v>
      </c>
      <c r="C111" s="7">
        <v>45469</v>
      </c>
      <c r="D111" t="s">
        <v>15</v>
      </c>
      <c r="E111" t="s">
        <v>26</v>
      </c>
      <c r="F111">
        <v>3253</v>
      </c>
      <c r="G111">
        <v>483</v>
      </c>
      <c r="H111">
        <v>336</v>
      </c>
      <c r="I111">
        <v>25397</v>
      </c>
      <c r="J111">
        <v>51485</v>
      </c>
      <c r="K111">
        <v>131</v>
      </c>
      <c r="L111" t="s">
        <v>21</v>
      </c>
      <c r="M111" t="s">
        <v>22</v>
      </c>
    </row>
    <row r="112" spans="1:13">
      <c r="A112" t="s">
        <v>151</v>
      </c>
      <c r="B112" t="s">
        <v>31</v>
      </c>
      <c r="C112" s="7">
        <v>45493</v>
      </c>
      <c r="D112" t="s">
        <v>57</v>
      </c>
      <c r="E112" t="s">
        <v>32</v>
      </c>
      <c r="F112">
        <v>4955</v>
      </c>
      <c r="G112">
        <v>299</v>
      </c>
      <c r="H112">
        <v>345</v>
      </c>
      <c r="I112">
        <v>33644</v>
      </c>
      <c r="J112">
        <v>43547</v>
      </c>
      <c r="K112">
        <v>194</v>
      </c>
      <c r="L112" t="s">
        <v>58</v>
      </c>
      <c r="M112" t="s">
        <v>59</v>
      </c>
    </row>
    <row r="113" spans="1:13">
      <c r="A113" t="s">
        <v>152</v>
      </c>
      <c r="B113" t="s">
        <v>14</v>
      </c>
      <c r="C113" s="7">
        <v>45704</v>
      </c>
      <c r="D113" t="s">
        <v>15</v>
      </c>
      <c r="E113" t="s">
        <v>51</v>
      </c>
      <c r="F113">
        <v>1333</v>
      </c>
      <c r="G113">
        <v>286</v>
      </c>
      <c r="H113">
        <v>298</v>
      </c>
      <c r="I113">
        <v>36174</v>
      </c>
      <c r="J113">
        <v>34517</v>
      </c>
      <c r="K113">
        <v>170</v>
      </c>
      <c r="L113" t="s">
        <v>17</v>
      </c>
      <c r="M113" t="s">
        <v>18</v>
      </c>
    </row>
    <row r="114" spans="1:13">
      <c r="A114" t="s">
        <v>153</v>
      </c>
      <c r="B114" t="s">
        <v>14</v>
      </c>
      <c r="C114" s="7">
        <v>45544</v>
      </c>
      <c r="D114" t="s">
        <v>15</v>
      </c>
      <c r="E114" t="s">
        <v>26</v>
      </c>
      <c r="F114">
        <v>1616</v>
      </c>
      <c r="G114">
        <v>360</v>
      </c>
      <c r="H114">
        <v>180</v>
      </c>
      <c r="I114">
        <v>54342</v>
      </c>
      <c r="J114">
        <v>18796</v>
      </c>
      <c r="K114">
        <v>282</v>
      </c>
      <c r="L114" t="s">
        <v>17</v>
      </c>
      <c r="M114" t="s">
        <v>18</v>
      </c>
    </row>
    <row r="115" spans="1:13">
      <c r="A115" t="s">
        <v>154</v>
      </c>
      <c r="B115" t="s">
        <v>24</v>
      </c>
      <c r="C115" s="7">
        <v>45489</v>
      </c>
      <c r="D115" t="s">
        <v>15</v>
      </c>
      <c r="E115" t="s">
        <v>41</v>
      </c>
      <c r="F115">
        <v>1803</v>
      </c>
      <c r="G115">
        <v>273</v>
      </c>
      <c r="H115">
        <v>287</v>
      </c>
      <c r="I115">
        <v>46176</v>
      </c>
      <c r="J115">
        <v>25488</v>
      </c>
      <c r="K115">
        <v>141</v>
      </c>
      <c r="L115" t="s">
        <v>42</v>
      </c>
      <c r="M115" t="s">
        <v>18</v>
      </c>
    </row>
    <row r="116" spans="1:13">
      <c r="A116" t="s">
        <v>155</v>
      </c>
      <c r="B116" t="s">
        <v>14</v>
      </c>
      <c r="C116" s="7">
        <v>45762</v>
      </c>
      <c r="D116" t="s">
        <v>15</v>
      </c>
      <c r="E116" t="s">
        <v>20</v>
      </c>
      <c r="F116">
        <v>4177</v>
      </c>
      <c r="G116">
        <v>489</v>
      </c>
      <c r="H116">
        <v>331</v>
      </c>
      <c r="I116">
        <v>57451</v>
      </c>
      <c r="J116">
        <v>73793</v>
      </c>
      <c r="K116">
        <v>251</v>
      </c>
      <c r="L116" t="s">
        <v>21</v>
      </c>
      <c r="M116" t="s">
        <v>22</v>
      </c>
    </row>
    <row r="117" spans="1:13">
      <c r="A117" t="s">
        <v>156</v>
      </c>
      <c r="B117" t="s">
        <v>14</v>
      </c>
      <c r="C117" s="7">
        <v>45781</v>
      </c>
      <c r="D117" t="s">
        <v>25</v>
      </c>
      <c r="E117" t="s">
        <v>26</v>
      </c>
      <c r="F117">
        <v>1311</v>
      </c>
      <c r="G117">
        <v>181</v>
      </c>
      <c r="H117">
        <v>361</v>
      </c>
      <c r="I117">
        <v>37148</v>
      </c>
      <c r="J117">
        <v>44875</v>
      </c>
      <c r="K117">
        <v>245</v>
      </c>
      <c r="L117" t="s">
        <v>42</v>
      </c>
      <c r="M117" t="s">
        <v>55</v>
      </c>
    </row>
    <row r="118" spans="1:13">
      <c r="A118" t="s">
        <v>157</v>
      </c>
      <c r="B118" t="s">
        <v>14</v>
      </c>
      <c r="C118" s="7">
        <v>45340</v>
      </c>
      <c r="D118" t="s">
        <v>25</v>
      </c>
      <c r="E118" t="s">
        <v>49</v>
      </c>
      <c r="F118">
        <v>1516</v>
      </c>
      <c r="G118">
        <v>215</v>
      </c>
      <c r="H118">
        <v>332</v>
      </c>
      <c r="I118">
        <v>58981</v>
      </c>
      <c r="J118">
        <v>36118</v>
      </c>
      <c r="K118">
        <v>211</v>
      </c>
      <c r="L118" t="s">
        <v>42</v>
      </c>
      <c r="M118" t="s">
        <v>55</v>
      </c>
    </row>
    <row r="119" spans="1:13">
      <c r="A119" t="s">
        <v>158</v>
      </c>
      <c r="B119" t="s">
        <v>24</v>
      </c>
      <c r="C119" s="7">
        <v>45428</v>
      </c>
      <c r="D119" t="s">
        <v>25</v>
      </c>
      <c r="E119" t="s">
        <v>32</v>
      </c>
      <c r="F119">
        <v>2023</v>
      </c>
      <c r="G119">
        <v>124</v>
      </c>
      <c r="H119">
        <v>99</v>
      </c>
      <c r="I119">
        <v>54524</v>
      </c>
      <c r="J119">
        <v>34790</v>
      </c>
      <c r="K119">
        <v>195</v>
      </c>
      <c r="L119" t="s">
        <v>39</v>
      </c>
      <c r="M119" t="s">
        <v>18</v>
      </c>
    </row>
    <row r="120" spans="1:13">
      <c r="A120" t="s">
        <v>159</v>
      </c>
      <c r="B120" t="s">
        <v>24</v>
      </c>
      <c r="C120" s="7">
        <v>45806</v>
      </c>
      <c r="D120" t="s">
        <v>25</v>
      </c>
      <c r="E120" t="s">
        <v>32</v>
      </c>
      <c r="F120">
        <v>2134</v>
      </c>
      <c r="G120">
        <v>322</v>
      </c>
      <c r="H120">
        <v>114</v>
      </c>
      <c r="I120">
        <v>44338</v>
      </c>
      <c r="J120">
        <v>52165</v>
      </c>
      <c r="K120">
        <v>176</v>
      </c>
      <c r="L120" t="s">
        <v>27</v>
      </c>
      <c r="M120" t="s">
        <v>18</v>
      </c>
    </row>
    <row r="121" spans="1:13">
      <c r="A121" t="s">
        <v>160</v>
      </c>
      <c r="B121" t="s">
        <v>14</v>
      </c>
      <c r="C121" s="7">
        <v>45674</v>
      </c>
      <c r="D121" t="s">
        <v>15</v>
      </c>
      <c r="E121" t="s">
        <v>41</v>
      </c>
      <c r="F121">
        <v>2266</v>
      </c>
      <c r="G121">
        <v>126</v>
      </c>
      <c r="H121">
        <v>140</v>
      </c>
      <c r="I121">
        <v>53759</v>
      </c>
      <c r="J121">
        <v>46834</v>
      </c>
      <c r="K121">
        <v>277</v>
      </c>
      <c r="L121" t="s">
        <v>21</v>
      </c>
      <c r="M121" t="s">
        <v>22</v>
      </c>
    </row>
    <row r="122" spans="1:13">
      <c r="A122" t="s">
        <v>161</v>
      </c>
      <c r="B122" t="s">
        <v>14</v>
      </c>
      <c r="C122" s="7">
        <v>45777</v>
      </c>
      <c r="D122" t="s">
        <v>25</v>
      </c>
      <c r="E122" t="s">
        <v>26</v>
      </c>
      <c r="F122">
        <v>3916</v>
      </c>
      <c r="G122">
        <v>459</v>
      </c>
      <c r="H122">
        <v>229</v>
      </c>
      <c r="I122">
        <v>48989</v>
      </c>
      <c r="J122">
        <v>39768</v>
      </c>
      <c r="K122">
        <v>200</v>
      </c>
      <c r="L122" t="s">
        <v>42</v>
      </c>
      <c r="M122" t="s">
        <v>55</v>
      </c>
    </row>
    <row r="123" spans="1:13">
      <c r="A123" t="s">
        <v>162</v>
      </c>
      <c r="B123" t="s">
        <v>24</v>
      </c>
      <c r="C123" s="7">
        <v>45346</v>
      </c>
      <c r="D123" t="s">
        <v>25</v>
      </c>
      <c r="E123" t="s">
        <v>32</v>
      </c>
      <c r="F123">
        <v>1022</v>
      </c>
      <c r="G123">
        <v>463</v>
      </c>
      <c r="H123">
        <v>360</v>
      </c>
      <c r="I123">
        <v>51468</v>
      </c>
      <c r="J123">
        <v>24279</v>
      </c>
      <c r="K123">
        <v>230</v>
      </c>
      <c r="L123" t="s">
        <v>39</v>
      </c>
      <c r="M123" t="s">
        <v>18</v>
      </c>
    </row>
    <row r="124" spans="1:13">
      <c r="A124" t="s">
        <v>163</v>
      </c>
      <c r="B124" t="s">
        <v>31</v>
      </c>
      <c r="C124" s="7">
        <v>45424</v>
      </c>
      <c r="D124" t="s">
        <v>15</v>
      </c>
      <c r="E124" t="s">
        <v>49</v>
      </c>
      <c r="F124">
        <v>2911</v>
      </c>
      <c r="G124">
        <v>467</v>
      </c>
      <c r="H124">
        <v>94</v>
      </c>
      <c r="I124">
        <v>59083</v>
      </c>
      <c r="J124">
        <v>49762</v>
      </c>
      <c r="K124">
        <v>236</v>
      </c>
      <c r="L124" t="s">
        <v>33</v>
      </c>
      <c r="M124" t="s">
        <v>22</v>
      </c>
    </row>
    <row r="125" spans="1:13">
      <c r="A125" t="s">
        <v>164</v>
      </c>
      <c r="B125" t="s">
        <v>24</v>
      </c>
      <c r="C125" s="7">
        <v>45421</v>
      </c>
      <c r="D125" t="s">
        <v>25</v>
      </c>
      <c r="E125" t="s">
        <v>26</v>
      </c>
      <c r="F125">
        <v>3277</v>
      </c>
      <c r="G125">
        <v>423</v>
      </c>
      <c r="H125">
        <v>259</v>
      </c>
      <c r="I125">
        <v>46328</v>
      </c>
      <c r="J125">
        <v>44293</v>
      </c>
      <c r="K125">
        <v>299</v>
      </c>
      <c r="L125" t="s">
        <v>17</v>
      </c>
      <c r="M125" t="s">
        <v>18</v>
      </c>
    </row>
    <row r="126" spans="1:13">
      <c r="A126" t="s">
        <v>165</v>
      </c>
      <c r="B126" t="s">
        <v>24</v>
      </c>
      <c r="C126" s="7">
        <v>45602</v>
      </c>
      <c r="D126" t="s">
        <v>15</v>
      </c>
      <c r="E126" t="s">
        <v>49</v>
      </c>
      <c r="F126">
        <v>2956</v>
      </c>
      <c r="G126">
        <v>381</v>
      </c>
      <c r="H126">
        <v>345</v>
      </c>
      <c r="I126">
        <v>33347</v>
      </c>
      <c r="J126">
        <v>22558</v>
      </c>
      <c r="K126">
        <v>173</v>
      </c>
      <c r="L126" t="s">
        <v>42</v>
      </c>
      <c r="M126" t="s">
        <v>18</v>
      </c>
    </row>
    <row r="127" spans="1:13">
      <c r="A127" t="s">
        <v>166</v>
      </c>
      <c r="B127" t="s">
        <v>24</v>
      </c>
      <c r="C127" s="7">
        <v>45295</v>
      </c>
      <c r="D127" t="s">
        <v>25</v>
      </c>
      <c r="E127" t="s">
        <v>35</v>
      </c>
      <c r="F127">
        <v>3208</v>
      </c>
      <c r="G127">
        <v>476</v>
      </c>
      <c r="H127">
        <v>277</v>
      </c>
      <c r="I127">
        <v>56072</v>
      </c>
      <c r="J127">
        <v>21061</v>
      </c>
      <c r="K127">
        <v>113</v>
      </c>
      <c r="L127" t="s">
        <v>27</v>
      </c>
      <c r="M127" t="s">
        <v>18</v>
      </c>
    </row>
    <row r="128" spans="1:13">
      <c r="A128" t="s">
        <v>167</v>
      </c>
      <c r="B128" t="s">
        <v>24</v>
      </c>
      <c r="C128" s="7">
        <v>45319</v>
      </c>
      <c r="D128" t="s">
        <v>15</v>
      </c>
      <c r="E128" t="s">
        <v>32</v>
      </c>
      <c r="F128">
        <v>1456</v>
      </c>
      <c r="G128">
        <v>265</v>
      </c>
      <c r="H128">
        <v>137</v>
      </c>
      <c r="I128">
        <v>53485</v>
      </c>
      <c r="J128">
        <v>59729</v>
      </c>
      <c r="K128">
        <v>145</v>
      </c>
      <c r="L128" t="s">
        <v>45</v>
      </c>
      <c r="M128" t="s">
        <v>22</v>
      </c>
    </row>
    <row r="129" spans="1:13">
      <c r="A129" t="s">
        <v>168</v>
      </c>
      <c r="B129" t="s">
        <v>14</v>
      </c>
      <c r="C129" s="7">
        <v>45344</v>
      </c>
      <c r="D129" t="s">
        <v>15</v>
      </c>
      <c r="E129" t="s">
        <v>26</v>
      </c>
      <c r="F129">
        <v>1902</v>
      </c>
      <c r="G129">
        <v>394</v>
      </c>
      <c r="H129">
        <v>279</v>
      </c>
      <c r="I129">
        <v>24615</v>
      </c>
      <c r="J129">
        <v>51330</v>
      </c>
      <c r="K129">
        <v>176</v>
      </c>
      <c r="L129" t="s">
        <v>17</v>
      </c>
      <c r="M129" t="s">
        <v>18</v>
      </c>
    </row>
    <row r="130" spans="1:13">
      <c r="A130" t="s">
        <v>169</v>
      </c>
      <c r="B130" t="s">
        <v>24</v>
      </c>
      <c r="C130" s="7">
        <v>45839</v>
      </c>
      <c r="D130" t="s">
        <v>25</v>
      </c>
      <c r="E130" t="s">
        <v>20</v>
      </c>
      <c r="F130">
        <v>3219</v>
      </c>
      <c r="G130">
        <v>424</v>
      </c>
      <c r="H130">
        <v>267</v>
      </c>
      <c r="I130">
        <v>48879</v>
      </c>
      <c r="J130">
        <v>37691</v>
      </c>
      <c r="K130">
        <v>224</v>
      </c>
      <c r="L130" t="s">
        <v>39</v>
      </c>
      <c r="M130" t="s">
        <v>18</v>
      </c>
    </row>
    <row r="131" spans="1:13">
      <c r="A131" t="s">
        <v>170</v>
      </c>
      <c r="B131" t="s">
        <v>31</v>
      </c>
      <c r="C131" s="7">
        <v>45301</v>
      </c>
      <c r="D131" t="s">
        <v>15</v>
      </c>
      <c r="E131" t="s">
        <v>20</v>
      </c>
      <c r="F131">
        <v>1261</v>
      </c>
      <c r="G131">
        <v>190</v>
      </c>
      <c r="H131">
        <v>233</v>
      </c>
      <c r="I131">
        <v>59888</v>
      </c>
      <c r="J131">
        <v>51449</v>
      </c>
      <c r="K131">
        <v>205</v>
      </c>
      <c r="L131" t="s">
        <v>33</v>
      </c>
      <c r="M131" t="s">
        <v>22</v>
      </c>
    </row>
    <row r="132" spans="1:13">
      <c r="A132" t="s">
        <v>171</v>
      </c>
      <c r="B132" t="s">
        <v>24</v>
      </c>
      <c r="C132" s="7">
        <v>45736</v>
      </c>
      <c r="D132" t="s">
        <v>15</v>
      </c>
      <c r="E132" t="s">
        <v>51</v>
      </c>
      <c r="F132">
        <v>1564</v>
      </c>
      <c r="G132">
        <v>362</v>
      </c>
      <c r="H132">
        <v>371</v>
      </c>
      <c r="I132">
        <v>42075</v>
      </c>
      <c r="J132">
        <v>66659</v>
      </c>
      <c r="K132">
        <v>205</v>
      </c>
      <c r="L132" t="s">
        <v>45</v>
      </c>
      <c r="M132" t="s">
        <v>22</v>
      </c>
    </row>
    <row r="133" spans="1:13">
      <c r="A133" t="s">
        <v>172</v>
      </c>
      <c r="B133" t="s">
        <v>24</v>
      </c>
      <c r="C133" s="7">
        <v>45563</v>
      </c>
      <c r="D133" t="s">
        <v>15</v>
      </c>
      <c r="E133" t="s">
        <v>35</v>
      </c>
      <c r="F133">
        <v>4006</v>
      </c>
      <c r="G133">
        <v>420</v>
      </c>
      <c r="H133">
        <v>194</v>
      </c>
      <c r="I133">
        <v>49964</v>
      </c>
      <c r="J133">
        <v>20685</v>
      </c>
      <c r="K133">
        <v>148</v>
      </c>
      <c r="L133" t="s">
        <v>42</v>
      </c>
      <c r="M133" t="s">
        <v>18</v>
      </c>
    </row>
    <row r="134" spans="1:13">
      <c r="A134" t="s">
        <v>173</v>
      </c>
      <c r="B134" t="s">
        <v>31</v>
      </c>
      <c r="C134" s="7">
        <v>45318</v>
      </c>
      <c r="D134" t="s">
        <v>15</v>
      </c>
      <c r="E134" t="s">
        <v>51</v>
      </c>
      <c r="F134">
        <v>1976</v>
      </c>
      <c r="G134">
        <v>262</v>
      </c>
      <c r="H134">
        <v>218</v>
      </c>
      <c r="I134">
        <v>51696</v>
      </c>
      <c r="J134">
        <v>44846</v>
      </c>
      <c r="K134">
        <v>139</v>
      </c>
      <c r="L134" t="s">
        <v>33</v>
      </c>
      <c r="M134" t="s">
        <v>22</v>
      </c>
    </row>
    <row r="135" spans="1:13">
      <c r="A135" t="s">
        <v>174</v>
      </c>
      <c r="B135" t="s">
        <v>24</v>
      </c>
      <c r="C135" s="7">
        <v>45792</v>
      </c>
      <c r="D135" t="s">
        <v>15</v>
      </c>
      <c r="E135" t="s">
        <v>26</v>
      </c>
      <c r="F135">
        <v>1583</v>
      </c>
      <c r="G135">
        <v>433</v>
      </c>
      <c r="H135">
        <v>249</v>
      </c>
      <c r="I135">
        <v>30256</v>
      </c>
      <c r="J135">
        <v>47066</v>
      </c>
      <c r="K135">
        <v>196</v>
      </c>
      <c r="L135" t="s">
        <v>42</v>
      </c>
      <c r="M135" t="s">
        <v>18</v>
      </c>
    </row>
    <row r="136" spans="1:13">
      <c r="A136" t="s">
        <v>175</v>
      </c>
      <c r="B136" t="s">
        <v>24</v>
      </c>
      <c r="C136" s="7">
        <v>45569</v>
      </c>
      <c r="D136" t="s">
        <v>25</v>
      </c>
      <c r="E136" t="s">
        <v>20</v>
      </c>
      <c r="F136">
        <v>2870</v>
      </c>
      <c r="G136">
        <v>380</v>
      </c>
      <c r="H136">
        <v>393</v>
      </c>
      <c r="I136">
        <v>37621</v>
      </c>
      <c r="J136">
        <v>71794</v>
      </c>
      <c r="K136">
        <v>127</v>
      </c>
      <c r="L136" t="s">
        <v>27</v>
      </c>
      <c r="M136" t="s">
        <v>18</v>
      </c>
    </row>
    <row r="137" spans="1:13">
      <c r="A137" t="s">
        <v>176</v>
      </c>
      <c r="B137" t="s">
        <v>24</v>
      </c>
      <c r="C137" s="7">
        <v>45615</v>
      </c>
      <c r="D137" t="s">
        <v>15</v>
      </c>
      <c r="E137" t="s">
        <v>41</v>
      </c>
      <c r="F137">
        <v>3728</v>
      </c>
      <c r="G137">
        <v>271</v>
      </c>
      <c r="H137">
        <v>275</v>
      </c>
      <c r="I137">
        <v>22827</v>
      </c>
      <c r="J137">
        <v>37034</v>
      </c>
      <c r="K137">
        <v>199</v>
      </c>
      <c r="L137" t="s">
        <v>42</v>
      </c>
      <c r="M137" t="s">
        <v>18</v>
      </c>
    </row>
    <row r="138" spans="1:13">
      <c r="A138" t="s">
        <v>177</v>
      </c>
      <c r="B138" t="s">
        <v>24</v>
      </c>
      <c r="C138" s="7">
        <v>45387</v>
      </c>
      <c r="D138" t="s">
        <v>25</v>
      </c>
      <c r="E138" t="s">
        <v>26</v>
      </c>
      <c r="F138">
        <v>4965</v>
      </c>
      <c r="G138">
        <v>175</v>
      </c>
      <c r="H138">
        <v>307</v>
      </c>
      <c r="I138">
        <v>32793</v>
      </c>
      <c r="J138">
        <v>43412</v>
      </c>
      <c r="K138">
        <v>296</v>
      </c>
      <c r="L138" t="s">
        <v>17</v>
      </c>
      <c r="M138" t="s">
        <v>18</v>
      </c>
    </row>
    <row r="139" spans="1:13">
      <c r="A139" t="s">
        <v>178</v>
      </c>
      <c r="B139" t="s">
        <v>24</v>
      </c>
      <c r="C139" s="7">
        <v>45624</v>
      </c>
      <c r="D139" t="s">
        <v>25</v>
      </c>
      <c r="E139" t="s">
        <v>26</v>
      </c>
      <c r="F139">
        <v>1131</v>
      </c>
      <c r="G139">
        <v>100</v>
      </c>
      <c r="H139">
        <v>116</v>
      </c>
      <c r="I139">
        <v>48437</v>
      </c>
      <c r="J139">
        <v>72704</v>
      </c>
      <c r="K139">
        <v>236</v>
      </c>
      <c r="L139" t="s">
        <v>39</v>
      </c>
      <c r="M139" t="s">
        <v>18</v>
      </c>
    </row>
    <row r="140" spans="1:13">
      <c r="A140" t="s">
        <v>179</v>
      </c>
      <c r="B140" t="s">
        <v>24</v>
      </c>
      <c r="C140" s="7">
        <v>45725</v>
      </c>
      <c r="D140" t="s">
        <v>15</v>
      </c>
      <c r="E140" t="s">
        <v>51</v>
      </c>
      <c r="F140">
        <v>2754</v>
      </c>
      <c r="G140">
        <v>215</v>
      </c>
      <c r="H140">
        <v>264</v>
      </c>
      <c r="I140">
        <v>27762</v>
      </c>
      <c r="J140">
        <v>70203</v>
      </c>
      <c r="K140">
        <v>289</v>
      </c>
      <c r="L140" t="s">
        <v>42</v>
      </c>
      <c r="M140" t="s">
        <v>18</v>
      </c>
    </row>
    <row r="141" spans="1:13">
      <c r="A141" t="s">
        <v>180</v>
      </c>
      <c r="B141" t="s">
        <v>24</v>
      </c>
      <c r="C141" s="7">
        <v>45531</v>
      </c>
      <c r="D141" t="s">
        <v>25</v>
      </c>
      <c r="E141" t="s">
        <v>26</v>
      </c>
      <c r="F141">
        <v>1856</v>
      </c>
      <c r="G141">
        <v>357</v>
      </c>
      <c r="H141">
        <v>348</v>
      </c>
      <c r="I141">
        <v>29428</v>
      </c>
      <c r="J141">
        <v>70206</v>
      </c>
      <c r="K141">
        <v>236</v>
      </c>
      <c r="L141" t="s">
        <v>27</v>
      </c>
      <c r="M141" t="s">
        <v>18</v>
      </c>
    </row>
    <row r="142" spans="1:13">
      <c r="A142" t="s">
        <v>181</v>
      </c>
      <c r="B142" t="s">
        <v>31</v>
      </c>
      <c r="C142" s="7">
        <v>45566</v>
      </c>
      <c r="D142" t="s">
        <v>57</v>
      </c>
      <c r="E142" t="s">
        <v>20</v>
      </c>
      <c r="F142">
        <v>3543</v>
      </c>
      <c r="G142">
        <v>334</v>
      </c>
      <c r="H142">
        <v>218</v>
      </c>
      <c r="I142">
        <v>58007</v>
      </c>
      <c r="J142">
        <v>24792</v>
      </c>
      <c r="K142">
        <v>273</v>
      </c>
      <c r="L142" t="s">
        <v>58</v>
      </c>
      <c r="M142" t="s">
        <v>59</v>
      </c>
    </row>
    <row r="143" spans="1:13">
      <c r="A143" t="s">
        <v>182</v>
      </c>
      <c r="B143" t="s">
        <v>14</v>
      </c>
      <c r="C143" s="7">
        <v>45647</v>
      </c>
      <c r="D143" t="s">
        <v>25</v>
      </c>
      <c r="E143" t="s">
        <v>26</v>
      </c>
      <c r="F143">
        <v>4563</v>
      </c>
      <c r="G143">
        <v>398</v>
      </c>
      <c r="H143">
        <v>163</v>
      </c>
      <c r="I143">
        <v>43679</v>
      </c>
      <c r="J143">
        <v>48760</v>
      </c>
      <c r="K143">
        <v>92</v>
      </c>
      <c r="L143" t="s">
        <v>42</v>
      </c>
      <c r="M143" t="s">
        <v>55</v>
      </c>
    </row>
    <row r="144" spans="1:13">
      <c r="A144" t="s">
        <v>183</v>
      </c>
      <c r="B144" t="s">
        <v>14</v>
      </c>
      <c r="C144" s="7">
        <v>45460</v>
      </c>
      <c r="D144" t="s">
        <v>15</v>
      </c>
      <c r="E144" t="s">
        <v>16</v>
      </c>
      <c r="F144">
        <v>4283</v>
      </c>
      <c r="G144">
        <v>471</v>
      </c>
      <c r="H144">
        <v>156</v>
      </c>
      <c r="I144">
        <v>53004</v>
      </c>
      <c r="J144">
        <v>25678</v>
      </c>
      <c r="K144">
        <v>105</v>
      </c>
      <c r="L144" t="s">
        <v>21</v>
      </c>
      <c r="M144" t="s">
        <v>22</v>
      </c>
    </row>
    <row r="145" spans="1:13">
      <c r="A145" t="s">
        <v>184</v>
      </c>
      <c r="B145" t="s">
        <v>14</v>
      </c>
      <c r="C145" s="7">
        <v>45702</v>
      </c>
      <c r="D145" t="s">
        <v>15</v>
      </c>
      <c r="E145" t="s">
        <v>16</v>
      </c>
      <c r="F145">
        <v>2329</v>
      </c>
      <c r="G145">
        <v>373</v>
      </c>
      <c r="H145">
        <v>291</v>
      </c>
      <c r="I145">
        <v>49577</v>
      </c>
      <c r="J145">
        <v>28002</v>
      </c>
      <c r="K145">
        <v>82</v>
      </c>
      <c r="L145" t="s">
        <v>17</v>
      </c>
      <c r="M145" t="s">
        <v>18</v>
      </c>
    </row>
    <row r="146" spans="1:13">
      <c r="A146" t="s">
        <v>185</v>
      </c>
      <c r="B146" t="s">
        <v>24</v>
      </c>
      <c r="C146" s="7">
        <v>45805</v>
      </c>
      <c r="D146" t="s">
        <v>25</v>
      </c>
      <c r="E146" t="s">
        <v>41</v>
      </c>
      <c r="F146">
        <v>4287</v>
      </c>
      <c r="G146">
        <v>273</v>
      </c>
      <c r="H146">
        <v>122</v>
      </c>
      <c r="I146">
        <v>40792</v>
      </c>
      <c r="J146">
        <v>23878</v>
      </c>
      <c r="K146">
        <v>277</v>
      </c>
      <c r="L146" t="s">
        <v>27</v>
      </c>
      <c r="M146" t="s">
        <v>18</v>
      </c>
    </row>
    <row r="147" spans="1:13">
      <c r="A147" t="s">
        <v>186</v>
      </c>
      <c r="B147" t="s">
        <v>14</v>
      </c>
      <c r="C147" s="7">
        <v>45799</v>
      </c>
      <c r="D147" t="s">
        <v>15</v>
      </c>
      <c r="E147" t="s">
        <v>16</v>
      </c>
      <c r="F147">
        <v>2633</v>
      </c>
      <c r="G147">
        <v>318</v>
      </c>
      <c r="H147">
        <v>380</v>
      </c>
      <c r="I147">
        <v>40869</v>
      </c>
      <c r="J147">
        <v>64474</v>
      </c>
      <c r="K147">
        <v>245</v>
      </c>
      <c r="L147" t="s">
        <v>21</v>
      </c>
      <c r="M147" t="s">
        <v>22</v>
      </c>
    </row>
    <row r="148" spans="1:13">
      <c r="A148" t="s">
        <v>187</v>
      </c>
      <c r="B148" t="s">
        <v>24</v>
      </c>
      <c r="C148" s="7">
        <v>45312</v>
      </c>
      <c r="D148" t="s">
        <v>25</v>
      </c>
      <c r="E148" t="s">
        <v>16</v>
      </c>
      <c r="F148">
        <v>2383</v>
      </c>
      <c r="G148">
        <v>136</v>
      </c>
      <c r="H148">
        <v>302</v>
      </c>
      <c r="I148">
        <v>39187</v>
      </c>
      <c r="J148">
        <v>22133</v>
      </c>
      <c r="K148">
        <v>208</v>
      </c>
      <c r="L148" t="s">
        <v>27</v>
      </c>
      <c r="M148" t="s">
        <v>18</v>
      </c>
    </row>
    <row r="149" spans="1:13">
      <c r="A149" t="s">
        <v>188</v>
      </c>
      <c r="B149" t="s">
        <v>24</v>
      </c>
      <c r="C149" s="7">
        <v>45696</v>
      </c>
      <c r="D149" t="s">
        <v>25</v>
      </c>
      <c r="E149" t="s">
        <v>51</v>
      </c>
      <c r="F149">
        <v>4752</v>
      </c>
      <c r="G149">
        <v>334</v>
      </c>
      <c r="H149">
        <v>56</v>
      </c>
      <c r="I149">
        <v>48017</v>
      </c>
      <c r="J149">
        <v>55534</v>
      </c>
      <c r="K149">
        <v>270</v>
      </c>
      <c r="L149" t="s">
        <v>39</v>
      </c>
      <c r="M149" t="s">
        <v>18</v>
      </c>
    </row>
    <row r="150" spans="1:13">
      <c r="A150" t="s">
        <v>189</v>
      </c>
      <c r="B150" t="s">
        <v>24</v>
      </c>
      <c r="C150" s="7">
        <v>45760</v>
      </c>
      <c r="D150" t="s">
        <v>15</v>
      </c>
      <c r="E150" t="s">
        <v>49</v>
      </c>
      <c r="F150">
        <v>3890</v>
      </c>
      <c r="G150">
        <v>408</v>
      </c>
      <c r="H150">
        <v>338</v>
      </c>
      <c r="I150">
        <v>56994</v>
      </c>
      <c r="J150">
        <v>32621</v>
      </c>
      <c r="K150">
        <v>286</v>
      </c>
      <c r="L150" t="s">
        <v>45</v>
      </c>
      <c r="M150" t="s">
        <v>22</v>
      </c>
    </row>
    <row r="151" spans="1:13">
      <c r="A151" t="s">
        <v>190</v>
      </c>
      <c r="B151" t="s">
        <v>24</v>
      </c>
      <c r="C151" s="7">
        <v>45442</v>
      </c>
      <c r="D151" t="s">
        <v>25</v>
      </c>
      <c r="E151" t="s">
        <v>51</v>
      </c>
      <c r="F151">
        <v>2311</v>
      </c>
      <c r="G151">
        <v>207</v>
      </c>
      <c r="H151">
        <v>363</v>
      </c>
      <c r="I151">
        <v>30349</v>
      </c>
      <c r="J151">
        <v>32925</v>
      </c>
      <c r="K151">
        <v>88</v>
      </c>
      <c r="L151" t="s">
        <v>27</v>
      </c>
      <c r="M151" t="s">
        <v>18</v>
      </c>
    </row>
    <row r="152" spans="1:13">
      <c r="A152" t="s">
        <v>191</v>
      </c>
      <c r="B152" t="s">
        <v>14</v>
      </c>
      <c r="C152" s="7">
        <v>45516</v>
      </c>
      <c r="D152" t="s">
        <v>25</v>
      </c>
      <c r="E152" t="s">
        <v>16</v>
      </c>
      <c r="F152">
        <v>2962</v>
      </c>
      <c r="G152">
        <v>400</v>
      </c>
      <c r="H152">
        <v>280</v>
      </c>
      <c r="I152">
        <v>52508</v>
      </c>
      <c r="J152">
        <v>58329</v>
      </c>
      <c r="K152">
        <v>219</v>
      </c>
      <c r="L152" t="s">
        <v>42</v>
      </c>
      <c r="M152" t="s">
        <v>55</v>
      </c>
    </row>
    <row r="153" spans="1:13">
      <c r="A153" t="s">
        <v>192</v>
      </c>
      <c r="B153" t="s">
        <v>14</v>
      </c>
      <c r="C153" s="7">
        <v>45562</v>
      </c>
      <c r="D153" t="s">
        <v>15</v>
      </c>
      <c r="E153" t="s">
        <v>16</v>
      </c>
      <c r="F153">
        <v>3118</v>
      </c>
      <c r="G153">
        <v>116</v>
      </c>
      <c r="H153">
        <v>195</v>
      </c>
      <c r="I153">
        <v>37100</v>
      </c>
      <c r="J153">
        <v>62629</v>
      </c>
      <c r="K153">
        <v>272</v>
      </c>
      <c r="L153" t="s">
        <v>21</v>
      </c>
      <c r="M153" t="s">
        <v>22</v>
      </c>
    </row>
    <row r="154" spans="1:13">
      <c r="A154" t="s">
        <v>193</v>
      </c>
      <c r="B154" t="s">
        <v>24</v>
      </c>
      <c r="C154" s="7">
        <v>45819</v>
      </c>
      <c r="D154" t="s">
        <v>25</v>
      </c>
      <c r="E154" t="s">
        <v>20</v>
      </c>
      <c r="F154">
        <v>3805</v>
      </c>
      <c r="G154">
        <v>453</v>
      </c>
      <c r="H154">
        <v>63</v>
      </c>
      <c r="I154">
        <v>52395</v>
      </c>
      <c r="J154">
        <v>72934</v>
      </c>
      <c r="K154">
        <v>87</v>
      </c>
      <c r="L154" t="s">
        <v>39</v>
      </c>
      <c r="M154" t="s">
        <v>18</v>
      </c>
    </row>
    <row r="155" spans="1:13">
      <c r="A155" t="s">
        <v>194</v>
      </c>
      <c r="B155" t="s">
        <v>14</v>
      </c>
      <c r="C155" s="7">
        <v>45615</v>
      </c>
      <c r="D155" t="s">
        <v>15</v>
      </c>
      <c r="E155" t="s">
        <v>35</v>
      </c>
      <c r="F155">
        <v>2525</v>
      </c>
      <c r="G155">
        <v>272</v>
      </c>
      <c r="H155">
        <v>294</v>
      </c>
      <c r="I155">
        <v>51875</v>
      </c>
      <c r="J155">
        <v>24732</v>
      </c>
      <c r="K155">
        <v>92</v>
      </c>
      <c r="L155" t="s">
        <v>21</v>
      </c>
      <c r="M155" t="s">
        <v>22</v>
      </c>
    </row>
    <row r="156" spans="1:13">
      <c r="A156" t="s">
        <v>195</v>
      </c>
      <c r="B156" t="s">
        <v>14</v>
      </c>
      <c r="C156" s="7">
        <v>45407</v>
      </c>
      <c r="D156" t="s">
        <v>15</v>
      </c>
      <c r="E156" t="s">
        <v>32</v>
      </c>
      <c r="F156">
        <v>3563</v>
      </c>
      <c r="G156">
        <v>483</v>
      </c>
      <c r="H156">
        <v>227</v>
      </c>
      <c r="I156">
        <v>41085</v>
      </c>
      <c r="J156">
        <v>26393</v>
      </c>
      <c r="K156">
        <v>236</v>
      </c>
      <c r="L156" t="s">
        <v>17</v>
      </c>
      <c r="M156" t="s">
        <v>18</v>
      </c>
    </row>
    <row r="157" spans="1:13">
      <c r="A157" t="s">
        <v>196</v>
      </c>
      <c r="B157" t="s">
        <v>31</v>
      </c>
      <c r="C157" s="7">
        <v>45538</v>
      </c>
      <c r="D157" t="s">
        <v>57</v>
      </c>
      <c r="E157" t="s">
        <v>35</v>
      </c>
      <c r="F157">
        <v>1437</v>
      </c>
      <c r="G157">
        <v>494</v>
      </c>
      <c r="H157">
        <v>129</v>
      </c>
      <c r="I157">
        <v>53048</v>
      </c>
      <c r="J157">
        <v>44090</v>
      </c>
      <c r="K157">
        <v>230</v>
      </c>
      <c r="L157" t="s">
        <v>58</v>
      </c>
      <c r="M157" t="s">
        <v>59</v>
      </c>
    </row>
    <row r="158" spans="1:13">
      <c r="A158" t="s">
        <v>197</v>
      </c>
      <c r="B158" t="s">
        <v>31</v>
      </c>
      <c r="C158" s="7">
        <v>45718</v>
      </c>
      <c r="D158" t="s">
        <v>15</v>
      </c>
      <c r="E158" t="s">
        <v>49</v>
      </c>
      <c r="F158">
        <v>4425</v>
      </c>
      <c r="G158">
        <v>185</v>
      </c>
      <c r="H158">
        <v>162</v>
      </c>
      <c r="I158">
        <v>24610</v>
      </c>
      <c r="J158">
        <v>21342</v>
      </c>
      <c r="K158">
        <v>158</v>
      </c>
      <c r="L158" t="s">
        <v>33</v>
      </c>
      <c r="M158" t="s">
        <v>22</v>
      </c>
    </row>
    <row r="159" spans="1:13">
      <c r="A159" t="s">
        <v>198</v>
      </c>
      <c r="B159" t="s">
        <v>24</v>
      </c>
      <c r="C159" s="7">
        <v>45737</v>
      </c>
      <c r="D159" t="s">
        <v>25</v>
      </c>
      <c r="E159" t="s">
        <v>26</v>
      </c>
      <c r="F159">
        <v>4609</v>
      </c>
      <c r="G159">
        <v>427</v>
      </c>
      <c r="H159">
        <v>395</v>
      </c>
      <c r="I159">
        <v>33698</v>
      </c>
      <c r="J159">
        <v>29259</v>
      </c>
      <c r="K159">
        <v>216</v>
      </c>
      <c r="L159" t="s">
        <v>39</v>
      </c>
      <c r="M159" t="s">
        <v>18</v>
      </c>
    </row>
    <row r="160" spans="1:13">
      <c r="A160" t="s">
        <v>199</v>
      </c>
      <c r="B160" t="s">
        <v>14</v>
      </c>
      <c r="C160" s="7">
        <v>45394</v>
      </c>
      <c r="D160" t="s">
        <v>25</v>
      </c>
      <c r="E160" t="s">
        <v>37</v>
      </c>
      <c r="F160">
        <v>1558</v>
      </c>
      <c r="G160">
        <v>352</v>
      </c>
      <c r="H160">
        <v>202</v>
      </c>
      <c r="I160">
        <v>25405</v>
      </c>
      <c r="J160">
        <v>69941</v>
      </c>
      <c r="K160">
        <v>219</v>
      </c>
      <c r="L160" t="s">
        <v>42</v>
      </c>
      <c r="M160" t="s">
        <v>55</v>
      </c>
    </row>
    <row r="161" spans="1:13">
      <c r="A161" t="s">
        <v>200</v>
      </c>
      <c r="B161" t="s">
        <v>31</v>
      </c>
      <c r="C161" s="7">
        <v>45330</v>
      </c>
      <c r="D161" t="s">
        <v>57</v>
      </c>
      <c r="E161" t="s">
        <v>41</v>
      </c>
      <c r="F161">
        <v>1889</v>
      </c>
      <c r="G161">
        <v>298</v>
      </c>
      <c r="H161">
        <v>122</v>
      </c>
      <c r="I161">
        <v>46225</v>
      </c>
      <c r="J161">
        <v>74305</v>
      </c>
      <c r="K161">
        <v>293</v>
      </c>
      <c r="L161" t="s">
        <v>58</v>
      </c>
      <c r="M161" t="s">
        <v>59</v>
      </c>
    </row>
    <row r="162" spans="1:13">
      <c r="A162" t="s">
        <v>201</v>
      </c>
      <c r="B162" t="s">
        <v>14</v>
      </c>
      <c r="C162" s="7">
        <v>45803</v>
      </c>
      <c r="D162" t="s">
        <v>15</v>
      </c>
      <c r="E162" t="s">
        <v>16</v>
      </c>
      <c r="F162">
        <v>3086</v>
      </c>
      <c r="G162">
        <v>148</v>
      </c>
      <c r="H162">
        <v>310</v>
      </c>
      <c r="I162">
        <v>22824</v>
      </c>
      <c r="J162">
        <v>58103</v>
      </c>
      <c r="K162">
        <v>275</v>
      </c>
      <c r="L162" t="s">
        <v>21</v>
      </c>
      <c r="M162" t="s">
        <v>22</v>
      </c>
    </row>
    <row r="163" spans="1:13">
      <c r="A163" t="s">
        <v>202</v>
      </c>
      <c r="B163" t="s">
        <v>14</v>
      </c>
      <c r="C163" s="7">
        <v>45610</v>
      </c>
      <c r="D163" t="s">
        <v>15</v>
      </c>
      <c r="E163" t="s">
        <v>32</v>
      </c>
      <c r="F163">
        <v>2422</v>
      </c>
      <c r="G163">
        <v>318</v>
      </c>
      <c r="H163">
        <v>118</v>
      </c>
      <c r="I163">
        <v>25386</v>
      </c>
      <c r="J163">
        <v>20873</v>
      </c>
      <c r="K163">
        <v>100</v>
      </c>
      <c r="L163" t="s">
        <v>17</v>
      </c>
      <c r="M163" t="s">
        <v>18</v>
      </c>
    </row>
    <row r="164" spans="1:13">
      <c r="A164" t="s">
        <v>203</v>
      </c>
      <c r="B164" t="s">
        <v>31</v>
      </c>
      <c r="C164" s="7">
        <v>45513</v>
      </c>
      <c r="D164" t="s">
        <v>57</v>
      </c>
      <c r="E164" t="s">
        <v>49</v>
      </c>
      <c r="F164">
        <v>3414</v>
      </c>
      <c r="G164">
        <v>154</v>
      </c>
      <c r="H164">
        <v>204</v>
      </c>
      <c r="I164">
        <v>34146</v>
      </c>
      <c r="J164">
        <v>44633</v>
      </c>
      <c r="K164">
        <v>256</v>
      </c>
      <c r="L164" t="s">
        <v>58</v>
      </c>
      <c r="M164" t="s">
        <v>59</v>
      </c>
    </row>
    <row r="165" spans="1:13">
      <c r="A165" t="s">
        <v>204</v>
      </c>
      <c r="B165" t="s">
        <v>14</v>
      </c>
      <c r="C165" s="7">
        <v>45835</v>
      </c>
      <c r="D165" t="s">
        <v>25</v>
      </c>
      <c r="E165" t="s">
        <v>35</v>
      </c>
      <c r="F165">
        <v>1342</v>
      </c>
      <c r="G165">
        <v>332</v>
      </c>
      <c r="H165">
        <v>163</v>
      </c>
      <c r="I165">
        <v>51712</v>
      </c>
      <c r="J165">
        <v>57922</v>
      </c>
      <c r="K165">
        <v>168</v>
      </c>
      <c r="L165" t="s">
        <v>42</v>
      </c>
      <c r="M165" t="s">
        <v>55</v>
      </c>
    </row>
    <row r="166" spans="1:13">
      <c r="A166" t="s">
        <v>205</v>
      </c>
      <c r="B166" t="s">
        <v>14</v>
      </c>
      <c r="C166" s="7">
        <v>45420</v>
      </c>
      <c r="D166" t="s">
        <v>25</v>
      </c>
      <c r="E166" t="s">
        <v>32</v>
      </c>
      <c r="F166">
        <v>2414</v>
      </c>
      <c r="G166">
        <v>220</v>
      </c>
      <c r="H166">
        <v>280</v>
      </c>
      <c r="I166">
        <v>27355</v>
      </c>
      <c r="J166">
        <v>50562</v>
      </c>
      <c r="K166">
        <v>258</v>
      </c>
      <c r="L166" t="s">
        <v>42</v>
      </c>
      <c r="M166" t="s">
        <v>55</v>
      </c>
    </row>
    <row r="167" spans="1:13">
      <c r="A167" t="s">
        <v>206</v>
      </c>
      <c r="B167" t="s">
        <v>14</v>
      </c>
      <c r="C167" s="7">
        <v>45387</v>
      </c>
      <c r="D167" t="s">
        <v>15</v>
      </c>
      <c r="E167" t="s">
        <v>26</v>
      </c>
      <c r="F167">
        <v>4383</v>
      </c>
      <c r="G167">
        <v>352</v>
      </c>
      <c r="H167">
        <v>176</v>
      </c>
      <c r="I167">
        <v>53239</v>
      </c>
      <c r="J167">
        <v>34168</v>
      </c>
      <c r="K167">
        <v>288</v>
      </c>
      <c r="L167" t="s">
        <v>21</v>
      </c>
      <c r="M167" t="s">
        <v>22</v>
      </c>
    </row>
    <row r="168" spans="1:13">
      <c r="A168" t="s">
        <v>207</v>
      </c>
      <c r="B168" t="s">
        <v>31</v>
      </c>
      <c r="C168" s="7">
        <v>45684</v>
      </c>
      <c r="D168" t="s">
        <v>15</v>
      </c>
      <c r="E168" t="s">
        <v>29</v>
      </c>
      <c r="F168">
        <v>4294</v>
      </c>
      <c r="G168">
        <v>423</v>
      </c>
      <c r="H168">
        <v>93</v>
      </c>
      <c r="I168">
        <v>29828</v>
      </c>
      <c r="J168">
        <v>73144</v>
      </c>
      <c r="K168">
        <v>298</v>
      </c>
      <c r="L168" t="s">
        <v>33</v>
      </c>
      <c r="M168" t="s">
        <v>22</v>
      </c>
    </row>
    <row r="169" spans="1:13">
      <c r="A169" t="s">
        <v>208</v>
      </c>
      <c r="B169" t="s">
        <v>14</v>
      </c>
      <c r="C169" s="7">
        <v>45385</v>
      </c>
      <c r="D169" t="s">
        <v>15</v>
      </c>
      <c r="E169" t="s">
        <v>41</v>
      </c>
      <c r="F169">
        <v>2762</v>
      </c>
      <c r="G169">
        <v>339</v>
      </c>
      <c r="H169">
        <v>323</v>
      </c>
      <c r="I169">
        <v>33757</v>
      </c>
      <c r="J169">
        <v>68511</v>
      </c>
      <c r="K169">
        <v>121</v>
      </c>
      <c r="L169" t="s">
        <v>17</v>
      </c>
      <c r="M169" t="s">
        <v>18</v>
      </c>
    </row>
    <row r="170" spans="1:13">
      <c r="A170" t="s">
        <v>209</v>
      </c>
      <c r="B170" t="s">
        <v>31</v>
      </c>
      <c r="C170" s="7">
        <v>45660</v>
      </c>
      <c r="D170" t="s">
        <v>15</v>
      </c>
      <c r="E170" t="s">
        <v>26</v>
      </c>
      <c r="F170">
        <v>3782</v>
      </c>
      <c r="G170">
        <v>484</v>
      </c>
      <c r="H170">
        <v>144</v>
      </c>
      <c r="I170">
        <v>52172</v>
      </c>
      <c r="J170">
        <v>59386</v>
      </c>
      <c r="K170">
        <v>175</v>
      </c>
      <c r="L170" t="s">
        <v>33</v>
      </c>
      <c r="M170" t="s">
        <v>22</v>
      </c>
    </row>
    <row r="171" spans="1:13">
      <c r="A171" t="s">
        <v>210</v>
      </c>
      <c r="B171" t="s">
        <v>24</v>
      </c>
      <c r="C171" s="7">
        <v>45619</v>
      </c>
      <c r="D171" t="s">
        <v>15</v>
      </c>
      <c r="E171" t="s">
        <v>26</v>
      </c>
      <c r="F171">
        <v>4318</v>
      </c>
      <c r="G171">
        <v>371</v>
      </c>
      <c r="H171">
        <v>329</v>
      </c>
      <c r="I171">
        <v>32347</v>
      </c>
      <c r="J171">
        <v>68956</v>
      </c>
      <c r="K171">
        <v>259</v>
      </c>
      <c r="L171" t="s">
        <v>45</v>
      </c>
      <c r="M171" t="s">
        <v>22</v>
      </c>
    </row>
    <row r="172" spans="1:13">
      <c r="A172" t="s">
        <v>211</v>
      </c>
      <c r="B172" t="s">
        <v>14</v>
      </c>
      <c r="C172" s="7">
        <v>45536</v>
      </c>
      <c r="D172" t="s">
        <v>25</v>
      </c>
      <c r="E172" t="s">
        <v>29</v>
      </c>
      <c r="F172">
        <v>2335</v>
      </c>
      <c r="G172">
        <v>150</v>
      </c>
      <c r="H172">
        <v>75</v>
      </c>
      <c r="I172">
        <v>26114</v>
      </c>
      <c r="J172">
        <v>57549</v>
      </c>
      <c r="K172">
        <v>135</v>
      </c>
      <c r="L172" t="s">
        <v>42</v>
      </c>
      <c r="M172" t="s">
        <v>55</v>
      </c>
    </row>
    <row r="173" spans="1:13">
      <c r="A173" t="s">
        <v>212</v>
      </c>
      <c r="B173" t="s">
        <v>31</v>
      </c>
      <c r="C173" s="7">
        <v>45400</v>
      </c>
      <c r="D173" t="s">
        <v>15</v>
      </c>
      <c r="E173" t="s">
        <v>20</v>
      </c>
      <c r="F173">
        <v>4023</v>
      </c>
      <c r="G173">
        <v>293</v>
      </c>
      <c r="H173">
        <v>91</v>
      </c>
      <c r="I173">
        <v>26795</v>
      </c>
      <c r="J173">
        <v>28924</v>
      </c>
      <c r="K173">
        <v>278</v>
      </c>
      <c r="L173" t="s">
        <v>33</v>
      </c>
      <c r="M173" t="s">
        <v>22</v>
      </c>
    </row>
    <row r="174" spans="1:13">
      <c r="A174" t="s">
        <v>213</v>
      </c>
      <c r="B174" t="s">
        <v>14</v>
      </c>
      <c r="C174" s="7">
        <v>45447</v>
      </c>
      <c r="D174" t="s">
        <v>15</v>
      </c>
      <c r="E174" t="s">
        <v>37</v>
      </c>
      <c r="F174">
        <v>3948</v>
      </c>
      <c r="G174">
        <v>151</v>
      </c>
      <c r="H174">
        <v>249</v>
      </c>
      <c r="I174">
        <v>43147</v>
      </c>
      <c r="J174">
        <v>63136</v>
      </c>
      <c r="K174">
        <v>230</v>
      </c>
      <c r="L174" t="s">
        <v>21</v>
      </c>
      <c r="M174" t="s">
        <v>22</v>
      </c>
    </row>
    <row r="175" spans="1:13">
      <c r="A175" t="s">
        <v>214</v>
      </c>
      <c r="B175" t="s">
        <v>31</v>
      </c>
      <c r="C175" s="7">
        <v>45749</v>
      </c>
      <c r="D175" t="s">
        <v>15</v>
      </c>
      <c r="E175" t="s">
        <v>29</v>
      </c>
      <c r="F175">
        <v>4598</v>
      </c>
      <c r="G175">
        <v>455</v>
      </c>
      <c r="H175">
        <v>378</v>
      </c>
      <c r="I175">
        <v>52952</v>
      </c>
      <c r="J175">
        <v>58504</v>
      </c>
      <c r="K175">
        <v>269</v>
      </c>
      <c r="L175" t="s">
        <v>33</v>
      </c>
      <c r="M175" t="s">
        <v>22</v>
      </c>
    </row>
    <row r="176" spans="1:13">
      <c r="A176" t="s">
        <v>215</v>
      </c>
      <c r="B176" t="s">
        <v>24</v>
      </c>
      <c r="C176" s="7">
        <v>45748</v>
      </c>
      <c r="D176" t="s">
        <v>25</v>
      </c>
      <c r="E176" t="s">
        <v>32</v>
      </c>
      <c r="F176">
        <v>2665</v>
      </c>
      <c r="G176">
        <v>143</v>
      </c>
      <c r="H176">
        <v>315</v>
      </c>
      <c r="I176">
        <v>54808</v>
      </c>
      <c r="J176">
        <v>29818</v>
      </c>
      <c r="K176">
        <v>98</v>
      </c>
      <c r="L176" t="s">
        <v>39</v>
      </c>
      <c r="M176" t="s">
        <v>18</v>
      </c>
    </row>
    <row r="177" spans="1:13">
      <c r="A177" t="s">
        <v>216</v>
      </c>
      <c r="B177" t="s">
        <v>14</v>
      </c>
      <c r="C177" s="7">
        <v>45475</v>
      </c>
      <c r="D177" t="s">
        <v>15</v>
      </c>
      <c r="E177" t="s">
        <v>41</v>
      </c>
      <c r="F177">
        <v>3469</v>
      </c>
      <c r="G177">
        <v>371</v>
      </c>
      <c r="H177">
        <v>76</v>
      </c>
      <c r="I177">
        <v>46493</v>
      </c>
      <c r="J177">
        <v>26906</v>
      </c>
      <c r="K177">
        <v>150</v>
      </c>
      <c r="L177" t="s">
        <v>17</v>
      </c>
      <c r="M177" t="s">
        <v>18</v>
      </c>
    </row>
    <row r="178" spans="1:13">
      <c r="A178" t="s">
        <v>217</v>
      </c>
      <c r="B178" t="s">
        <v>24</v>
      </c>
      <c r="C178" s="7">
        <v>45606</v>
      </c>
      <c r="D178" t="s">
        <v>15</v>
      </c>
      <c r="E178" t="s">
        <v>20</v>
      </c>
      <c r="F178">
        <v>4823</v>
      </c>
      <c r="G178">
        <v>489</v>
      </c>
      <c r="H178">
        <v>302</v>
      </c>
      <c r="I178">
        <v>32470</v>
      </c>
      <c r="J178">
        <v>31861</v>
      </c>
      <c r="K178">
        <v>178</v>
      </c>
      <c r="L178" t="s">
        <v>45</v>
      </c>
      <c r="M178" t="s">
        <v>22</v>
      </c>
    </row>
    <row r="179" spans="1:13">
      <c r="A179" t="s">
        <v>218</v>
      </c>
      <c r="B179" t="s">
        <v>14</v>
      </c>
      <c r="C179" s="7">
        <v>45640</v>
      </c>
      <c r="D179" t="s">
        <v>25</v>
      </c>
      <c r="E179" t="s">
        <v>49</v>
      </c>
      <c r="F179">
        <v>3812</v>
      </c>
      <c r="G179">
        <v>321</v>
      </c>
      <c r="H179">
        <v>289</v>
      </c>
      <c r="I179">
        <v>59838</v>
      </c>
      <c r="J179">
        <v>36337</v>
      </c>
      <c r="K179">
        <v>161</v>
      </c>
      <c r="L179" t="s">
        <v>42</v>
      </c>
      <c r="M179" t="s">
        <v>55</v>
      </c>
    </row>
    <row r="180" spans="1:13">
      <c r="A180" t="s">
        <v>219</v>
      </c>
      <c r="B180" t="s">
        <v>24</v>
      </c>
      <c r="C180" s="7">
        <v>45615</v>
      </c>
      <c r="D180" t="s">
        <v>15</v>
      </c>
      <c r="E180" t="s">
        <v>20</v>
      </c>
      <c r="F180">
        <v>2387</v>
      </c>
      <c r="G180">
        <v>353</v>
      </c>
      <c r="H180">
        <v>78</v>
      </c>
      <c r="I180">
        <v>39745</v>
      </c>
      <c r="J180">
        <v>69226</v>
      </c>
      <c r="K180">
        <v>208</v>
      </c>
      <c r="L180" t="s">
        <v>45</v>
      </c>
      <c r="M180" t="s">
        <v>22</v>
      </c>
    </row>
    <row r="181" spans="1:13">
      <c r="A181" t="s">
        <v>220</v>
      </c>
      <c r="B181" t="s">
        <v>24</v>
      </c>
      <c r="C181" s="7">
        <v>45777</v>
      </c>
      <c r="D181" t="s">
        <v>25</v>
      </c>
      <c r="E181" t="s">
        <v>29</v>
      </c>
      <c r="F181">
        <v>3929</v>
      </c>
      <c r="G181">
        <v>275</v>
      </c>
      <c r="H181">
        <v>330</v>
      </c>
      <c r="I181">
        <v>58329</v>
      </c>
      <c r="J181">
        <v>33196</v>
      </c>
      <c r="K181">
        <v>85</v>
      </c>
      <c r="L181" t="s">
        <v>27</v>
      </c>
      <c r="M181" t="s">
        <v>18</v>
      </c>
    </row>
    <row r="182" spans="1:13">
      <c r="A182" t="s">
        <v>221</v>
      </c>
      <c r="B182" t="s">
        <v>24</v>
      </c>
      <c r="C182" s="7">
        <v>45370</v>
      </c>
      <c r="D182" t="s">
        <v>15</v>
      </c>
      <c r="E182" t="s">
        <v>49</v>
      </c>
      <c r="F182">
        <v>2191</v>
      </c>
      <c r="G182">
        <v>288</v>
      </c>
      <c r="H182">
        <v>83</v>
      </c>
      <c r="I182">
        <v>59606</v>
      </c>
      <c r="J182">
        <v>24765</v>
      </c>
      <c r="K182">
        <v>281</v>
      </c>
      <c r="L182" t="s">
        <v>45</v>
      </c>
      <c r="M182" t="s">
        <v>22</v>
      </c>
    </row>
    <row r="183" spans="1:13">
      <c r="A183" t="s">
        <v>222</v>
      </c>
      <c r="B183" t="s">
        <v>14</v>
      </c>
      <c r="C183" s="7">
        <v>45370</v>
      </c>
      <c r="D183" t="s">
        <v>15</v>
      </c>
      <c r="E183" t="s">
        <v>49</v>
      </c>
      <c r="F183">
        <v>2878</v>
      </c>
      <c r="G183">
        <v>278</v>
      </c>
      <c r="H183">
        <v>255</v>
      </c>
      <c r="I183">
        <v>47235</v>
      </c>
      <c r="J183">
        <v>57922</v>
      </c>
      <c r="K183">
        <v>112</v>
      </c>
      <c r="L183" t="s">
        <v>17</v>
      </c>
      <c r="M183" t="s">
        <v>18</v>
      </c>
    </row>
    <row r="184" spans="1:13">
      <c r="A184" t="s">
        <v>223</v>
      </c>
      <c r="B184" t="s">
        <v>24</v>
      </c>
      <c r="C184" s="7">
        <v>45496</v>
      </c>
      <c r="D184" t="s">
        <v>15</v>
      </c>
      <c r="E184" t="s">
        <v>41</v>
      </c>
      <c r="F184">
        <v>3204</v>
      </c>
      <c r="G184">
        <v>398</v>
      </c>
      <c r="H184">
        <v>85</v>
      </c>
      <c r="I184">
        <v>22020</v>
      </c>
      <c r="J184">
        <v>58353</v>
      </c>
      <c r="K184">
        <v>286</v>
      </c>
      <c r="L184" t="s">
        <v>45</v>
      </c>
      <c r="M184" t="s">
        <v>22</v>
      </c>
    </row>
    <row r="185" spans="1:13">
      <c r="A185" t="s">
        <v>224</v>
      </c>
      <c r="B185" t="s">
        <v>24</v>
      </c>
      <c r="C185" s="7">
        <v>45486</v>
      </c>
      <c r="D185" t="s">
        <v>25</v>
      </c>
      <c r="E185" t="s">
        <v>37</v>
      </c>
      <c r="F185">
        <v>2408</v>
      </c>
      <c r="G185">
        <v>323</v>
      </c>
      <c r="H185">
        <v>251</v>
      </c>
      <c r="I185">
        <v>47599</v>
      </c>
      <c r="J185">
        <v>35543</v>
      </c>
      <c r="K185">
        <v>287</v>
      </c>
      <c r="L185" t="s">
        <v>27</v>
      </c>
      <c r="M185" t="s">
        <v>18</v>
      </c>
    </row>
    <row r="186" spans="1:13">
      <c r="A186" t="s">
        <v>225</v>
      </c>
      <c r="B186" t="s">
        <v>31</v>
      </c>
      <c r="C186" s="7">
        <v>45769</v>
      </c>
      <c r="D186" t="s">
        <v>57</v>
      </c>
      <c r="E186" t="s">
        <v>26</v>
      </c>
      <c r="F186">
        <v>2733</v>
      </c>
      <c r="G186">
        <v>297</v>
      </c>
      <c r="H186">
        <v>235</v>
      </c>
      <c r="I186">
        <v>37980</v>
      </c>
      <c r="J186">
        <v>33058</v>
      </c>
      <c r="K186">
        <v>219</v>
      </c>
      <c r="L186" t="s">
        <v>58</v>
      </c>
      <c r="M186" t="s">
        <v>59</v>
      </c>
    </row>
    <row r="187" spans="1:13">
      <c r="A187" t="s">
        <v>226</v>
      </c>
      <c r="B187" t="s">
        <v>24</v>
      </c>
      <c r="C187" s="7">
        <v>45459</v>
      </c>
      <c r="D187" t="s">
        <v>25</v>
      </c>
      <c r="E187" t="s">
        <v>20</v>
      </c>
      <c r="F187">
        <v>4618</v>
      </c>
      <c r="G187">
        <v>312</v>
      </c>
      <c r="H187">
        <v>254</v>
      </c>
      <c r="I187">
        <v>22571</v>
      </c>
      <c r="J187">
        <v>29453</v>
      </c>
      <c r="K187">
        <v>197</v>
      </c>
      <c r="L187" t="s">
        <v>27</v>
      </c>
      <c r="M187" t="s">
        <v>18</v>
      </c>
    </row>
    <row r="188" spans="1:13">
      <c r="A188" t="s">
        <v>227</v>
      </c>
      <c r="B188" t="s">
        <v>31</v>
      </c>
      <c r="C188" s="7">
        <v>45795</v>
      </c>
      <c r="D188" t="s">
        <v>57</v>
      </c>
      <c r="E188" t="s">
        <v>29</v>
      </c>
      <c r="F188">
        <v>4210</v>
      </c>
      <c r="G188">
        <v>319</v>
      </c>
      <c r="H188">
        <v>350</v>
      </c>
      <c r="I188">
        <v>37762</v>
      </c>
      <c r="J188">
        <v>55162</v>
      </c>
      <c r="K188">
        <v>204</v>
      </c>
      <c r="L188" t="s">
        <v>58</v>
      </c>
      <c r="M188" t="s">
        <v>59</v>
      </c>
    </row>
    <row r="189" spans="1:13">
      <c r="A189" t="s">
        <v>228</v>
      </c>
      <c r="B189" t="s">
        <v>14</v>
      </c>
      <c r="C189" s="7">
        <v>45814</v>
      </c>
      <c r="D189" t="s">
        <v>15</v>
      </c>
      <c r="E189" t="s">
        <v>29</v>
      </c>
      <c r="F189">
        <v>3987</v>
      </c>
      <c r="G189">
        <v>171</v>
      </c>
      <c r="H189">
        <v>274</v>
      </c>
      <c r="I189">
        <v>45122</v>
      </c>
      <c r="J189">
        <v>65431</v>
      </c>
      <c r="K189">
        <v>168</v>
      </c>
      <c r="L189" t="s">
        <v>21</v>
      </c>
      <c r="M189" t="s">
        <v>22</v>
      </c>
    </row>
    <row r="190" spans="1:13">
      <c r="A190" t="s">
        <v>229</v>
      </c>
      <c r="B190" t="s">
        <v>31</v>
      </c>
      <c r="C190" s="7">
        <v>45708</v>
      </c>
      <c r="D190" t="s">
        <v>57</v>
      </c>
      <c r="E190" t="s">
        <v>37</v>
      </c>
      <c r="F190">
        <v>4957</v>
      </c>
      <c r="G190">
        <v>262</v>
      </c>
      <c r="H190">
        <v>365</v>
      </c>
      <c r="I190">
        <v>49199</v>
      </c>
      <c r="J190">
        <v>40314</v>
      </c>
      <c r="K190">
        <v>216</v>
      </c>
      <c r="L190" t="s">
        <v>58</v>
      </c>
      <c r="M190" t="s">
        <v>59</v>
      </c>
    </row>
    <row r="191" spans="1:13">
      <c r="A191" t="s">
        <v>230</v>
      </c>
      <c r="B191" t="s">
        <v>14</v>
      </c>
      <c r="C191" s="7">
        <v>45673</v>
      </c>
      <c r="D191" t="s">
        <v>15</v>
      </c>
      <c r="E191" t="s">
        <v>32</v>
      </c>
      <c r="F191">
        <v>2605</v>
      </c>
      <c r="G191">
        <v>282</v>
      </c>
      <c r="H191">
        <v>148</v>
      </c>
      <c r="I191">
        <v>32201</v>
      </c>
      <c r="J191">
        <v>49583</v>
      </c>
      <c r="K191">
        <v>241</v>
      </c>
      <c r="L191" t="s">
        <v>17</v>
      </c>
      <c r="M191" t="s">
        <v>18</v>
      </c>
    </row>
    <row r="192" spans="1:13">
      <c r="A192" t="s">
        <v>231</v>
      </c>
      <c r="B192" t="s">
        <v>31</v>
      </c>
      <c r="C192" s="7">
        <v>45346</v>
      </c>
      <c r="D192" t="s">
        <v>57</v>
      </c>
      <c r="E192" t="s">
        <v>16</v>
      </c>
      <c r="F192">
        <v>4221</v>
      </c>
      <c r="G192">
        <v>307</v>
      </c>
      <c r="H192">
        <v>58</v>
      </c>
      <c r="I192">
        <v>45080</v>
      </c>
      <c r="J192">
        <v>37214</v>
      </c>
      <c r="K192">
        <v>240</v>
      </c>
      <c r="L192" t="s">
        <v>58</v>
      </c>
      <c r="M192" t="s">
        <v>59</v>
      </c>
    </row>
    <row r="193" spans="1:13">
      <c r="A193" t="s">
        <v>232</v>
      </c>
      <c r="B193" t="s">
        <v>24</v>
      </c>
      <c r="C193" s="7">
        <v>45551</v>
      </c>
      <c r="D193" t="s">
        <v>25</v>
      </c>
      <c r="E193" t="s">
        <v>35</v>
      </c>
      <c r="F193">
        <v>4422</v>
      </c>
      <c r="G193">
        <v>434</v>
      </c>
      <c r="H193">
        <v>156</v>
      </c>
      <c r="I193">
        <v>56165</v>
      </c>
      <c r="J193">
        <v>52431</v>
      </c>
      <c r="K193">
        <v>173</v>
      </c>
      <c r="L193" t="s">
        <v>39</v>
      </c>
      <c r="M193" t="s">
        <v>18</v>
      </c>
    </row>
    <row r="194" spans="1:13">
      <c r="A194" t="s">
        <v>233</v>
      </c>
      <c r="B194" t="s">
        <v>31</v>
      </c>
      <c r="C194" s="7">
        <v>45447</v>
      </c>
      <c r="D194" t="s">
        <v>57</v>
      </c>
      <c r="E194" t="s">
        <v>29</v>
      </c>
      <c r="F194">
        <v>1211</v>
      </c>
      <c r="G194">
        <v>431</v>
      </c>
      <c r="H194">
        <v>83</v>
      </c>
      <c r="I194">
        <v>26532</v>
      </c>
      <c r="J194">
        <v>47305</v>
      </c>
      <c r="K194">
        <v>232</v>
      </c>
      <c r="L194" t="s">
        <v>58</v>
      </c>
      <c r="M194" t="s">
        <v>59</v>
      </c>
    </row>
    <row r="195" spans="1:13">
      <c r="A195" t="s">
        <v>234</v>
      </c>
      <c r="B195" t="s">
        <v>24</v>
      </c>
      <c r="C195" s="7">
        <v>45422</v>
      </c>
      <c r="D195" t="s">
        <v>25</v>
      </c>
      <c r="E195" t="s">
        <v>20</v>
      </c>
      <c r="F195">
        <v>2784</v>
      </c>
      <c r="G195">
        <v>111</v>
      </c>
      <c r="H195">
        <v>399</v>
      </c>
      <c r="I195">
        <v>58366</v>
      </c>
      <c r="J195">
        <v>69512</v>
      </c>
      <c r="K195">
        <v>269</v>
      </c>
      <c r="L195" t="s">
        <v>27</v>
      </c>
      <c r="M195" t="s">
        <v>18</v>
      </c>
    </row>
    <row r="196" spans="1:13">
      <c r="A196" t="s">
        <v>235</v>
      </c>
      <c r="B196" t="s">
        <v>31</v>
      </c>
      <c r="C196" s="7">
        <v>45305</v>
      </c>
      <c r="D196" t="s">
        <v>15</v>
      </c>
      <c r="E196" t="s">
        <v>26</v>
      </c>
      <c r="F196">
        <v>3634</v>
      </c>
      <c r="G196">
        <v>280</v>
      </c>
      <c r="H196">
        <v>399</v>
      </c>
      <c r="I196">
        <v>40256</v>
      </c>
      <c r="J196">
        <v>52605</v>
      </c>
      <c r="K196">
        <v>213</v>
      </c>
      <c r="L196" t="s">
        <v>33</v>
      </c>
      <c r="M196" t="s">
        <v>22</v>
      </c>
    </row>
    <row r="197" spans="1:13">
      <c r="A197" t="s">
        <v>236</v>
      </c>
      <c r="B197" t="s">
        <v>14</v>
      </c>
      <c r="C197" s="7">
        <v>45669</v>
      </c>
      <c r="D197" t="s">
        <v>15</v>
      </c>
      <c r="E197" t="s">
        <v>49</v>
      </c>
      <c r="F197">
        <v>1771</v>
      </c>
      <c r="G197">
        <v>487</v>
      </c>
      <c r="H197">
        <v>272</v>
      </c>
      <c r="I197">
        <v>48810</v>
      </c>
      <c r="J197">
        <v>48084</v>
      </c>
      <c r="K197">
        <v>272</v>
      </c>
      <c r="L197" t="s">
        <v>17</v>
      </c>
      <c r="M197" t="s">
        <v>18</v>
      </c>
    </row>
    <row r="198" spans="1:13">
      <c r="A198" t="s">
        <v>237</v>
      </c>
      <c r="B198" t="s">
        <v>31</v>
      </c>
      <c r="C198" s="7">
        <v>45634</v>
      </c>
      <c r="D198" t="s">
        <v>15</v>
      </c>
      <c r="E198" t="s">
        <v>41</v>
      </c>
      <c r="F198">
        <v>1424</v>
      </c>
      <c r="G198">
        <v>396</v>
      </c>
      <c r="H198">
        <v>312</v>
      </c>
      <c r="I198">
        <v>59517</v>
      </c>
      <c r="J198">
        <v>46102</v>
      </c>
      <c r="K198">
        <v>239</v>
      </c>
      <c r="L198" t="s">
        <v>33</v>
      </c>
      <c r="M198" t="s">
        <v>22</v>
      </c>
    </row>
    <row r="199" spans="1:13">
      <c r="A199" t="s">
        <v>238</v>
      </c>
      <c r="B199" t="s">
        <v>24</v>
      </c>
      <c r="C199" s="7">
        <v>45689</v>
      </c>
      <c r="D199" t="s">
        <v>25</v>
      </c>
      <c r="E199" t="s">
        <v>41</v>
      </c>
      <c r="F199">
        <v>1079</v>
      </c>
      <c r="G199">
        <v>265</v>
      </c>
      <c r="H199">
        <v>190</v>
      </c>
      <c r="I199">
        <v>43786</v>
      </c>
      <c r="J199">
        <v>72428</v>
      </c>
      <c r="K199">
        <v>222</v>
      </c>
      <c r="L199" t="s">
        <v>17</v>
      </c>
      <c r="M199" t="s">
        <v>18</v>
      </c>
    </row>
    <row r="200" spans="1:13">
      <c r="A200" t="s">
        <v>239</v>
      </c>
      <c r="B200" t="s">
        <v>24</v>
      </c>
      <c r="C200" s="7">
        <v>45484</v>
      </c>
      <c r="D200" t="s">
        <v>25</v>
      </c>
      <c r="E200" t="s">
        <v>37</v>
      </c>
      <c r="F200">
        <v>4247</v>
      </c>
      <c r="G200">
        <v>179</v>
      </c>
      <c r="H200">
        <v>175</v>
      </c>
      <c r="I200">
        <v>32991</v>
      </c>
      <c r="J200">
        <v>70120</v>
      </c>
      <c r="K200">
        <v>276</v>
      </c>
      <c r="L200" t="s">
        <v>17</v>
      </c>
      <c r="M200" t="s">
        <v>18</v>
      </c>
    </row>
    <row r="201" spans="1:13">
      <c r="A201" t="s">
        <v>240</v>
      </c>
      <c r="B201" t="s">
        <v>24</v>
      </c>
      <c r="C201" s="7">
        <v>45369</v>
      </c>
      <c r="D201" t="s">
        <v>15</v>
      </c>
      <c r="E201" t="s">
        <v>26</v>
      </c>
      <c r="F201">
        <v>2033</v>
      </c>
      <c r="G201">
        <v>420</v>
      </c>
      <c r="H201">
        <v>94</v>
      </c>
      <c r="I201">
        <v>56290</v>
      </c>
      <c r="J201">
        <v>57391</v>
      </c>
      <c r="K201">
        <v>196</v>
      </c>
      <c r="L201" t="s">
        <v>42</v>
      </c>
      <c r="M201" t="s">
        <v>18</v>
      </c>
    </row>
    <row r="202" spans="1:13">
      <c r="A202" t="s">
        <v>241</v>
      </c>
      <c r="B202" t="s">
        <v>24</v>
      </c>
      <c r="C202" s="7">
        <v>45547</v>
      </c>
      <c r="D202" t="s">
        <v>25</v>
      </c>
      <c r="E202" t="s">
        <v>29</v>
      </c>
      <c r="F202">
        <v>1839</v>
      </c>
      <c r="G202">
        <v>223</v>
      </c>
      <c r="H202">
        <v>171</v>
      </c>
      <c r="I202">
        <v>35459</v>
      </c>
      <c r="J202">
        <v>69988</v>
      </c>
      <c r="K202">
        <v>114</v>
      </c>
      <c r="L202" t="s">
        <v>27</v>
      </c>
      <c r="M202" t="s">
        <v>18</v>
      </c>
    </row>
    <row r="203" spans="1:13">
      <c r="A203" t="s">
        <v>242</v>
      </c>
      <c r="B203" t="s">
        <v>24</v>
      </c>
      <c r="C203" s="7">
        <v>45302</v>
      </c>
      <c r="D203" t="s">
        <v>25</v>
      </c>
      <c r="E203" t="s">
        <v>29</v>
      </c>
      <c r="F203">
        <v>2340</v>
      </c>
      <c r="G203">
        <v>141</v>
      </c>
      <c r="H203">
        <v>206</v>
      </c>
      <c r="I203">
        <v>24916</v>
      </c>
      <c r="J203">
        <v>30582</v>
      </c>
      <c r="K203">
        <v>157</v>
      </c>
      <c r="L203" t="s">
        <v>17</v>
      </c>
      <c r="M203" t="s">
        <v>18</v>
      </c>
    </row>
    <row r="204" spans="1:13">
      <c r="A204" t="s">
        <v>243</v>
      </c>
      <c r="B204" t="s">
        <v>14</v>
      </c>
      <c r="C204" s="7">
        <v>45571</v>
      </c>
      <c r="D204" t="s">
        <v>15</v>
      </c>
      <c r="E204" t="s">
        <v>41</v>
      </c>
      <c r="F204">
        <v>2080</v>
      </c>
      <c r="G204">
        <v>389</v>
      </c>
      <c r="H204">
        <v>92</v>
      </c>
      <c r="I204">
        <v>30971</v>
      </c>
      <c r="J204">
        <v>25347</v>
      </c>
      <c r="K204">
        <v>111</v>
      </c>
      <c r="L204" t="s">
        <v>21</v>
      </c>
      <c r="M204" t="s">
        <v>22</v>
      </c>
    </row>
    <row r="205" spans="1:13">
      <c r="A205" t="s">
        <v>244</v>
      </c>
      <c r="B205" t="s">
        <v>24</v>
      </c>
      <c r="C205" s="7">
        <v>45656</v>
      </c>
      <c r="D205" t="s">
        <v>15</v>
      </c>
      <c r="E205" t="s">
        <v>37</v>
      </c>
      <c r="F205">
        <v>4214</v>
      </c>
      <c r="G205">
        <v>286</v>
      </c>
      <c r="H205">
        <v>127</v>
      </c>
      <c r="I205">
        <v>47293</v>
      </c>
      <c r="J205">
        <v>27184</v>
      </c>
      <c r="K205">
        <v>232</v>
      </c>
      <c r="L205" t="s">
        <v>42</v>
      </c>
      <c r="M205" t="s">
        <v>18</v>
      </c>
    </row>
    <row r="206" spans="1:13">
      <c r="A206" t="s">
        <v>245</v>
      </c>
      <c r="B206" t="s">
        <v>24</v>
      </c>
      <c r="C206" s="7">
        <v>45763</v>
      </c>
      <c r="D206" t="s">
        <v>15</v>
      </c>
      <c r="E206" t="s">
        <v>29</v>
      </c>
      <c r="F206">
        <v>3792</v>
      </c>
      <c r="G206">
        <v>315</v>
      </c>
      <c r="H206">
        <v>120</v>
      </c>
      <c r="I206">
        <v>54592</v>
      </c>
      <c r="J206">
        <v>67886</v>
      </c>
      <c r="K206">
        <v>117</v>
      </c>
      <c r="L206" t="s">
        <v>45</v>
      </c>
      <c r="M206" t="s">
        <v>22</v>
      </c>
    </row>
    <row r="207" spans="1:13">
      <c r="A207" t="s">
        <v>246</v>
      </c>
      <c r="B207" t="s">
        <v>24</v>
      </c>
      <c r="C207" s="7">
        <v>45525</v>
      </c>
      <c r="D207" t="s">
        <v>25</v>
      </c>
      <c r="E207" t="s">
        <v>20</v>
      </c>
      <c r="F207">
        <v>3989</v>
      </c>
      <c r="G207">
        <v>476</v>
      </c>
      <c r="H207">
        <v>128</v>
      </c>
      <c r="I207">
        <v>57569</v>
      </c>
      <c r="J207">
        <v>40193</v>
      </c>
      <c r="K207">
        <v>222</v>
      </c>
      <c r="L207" t="s">
        <v>39</v>
      </c>
      <c r="M207" t="s">
        <v>18</v>
      </c>
    </row>
    <row r="208" spans="1:13">
      <c r="A208" t="s">
        <v>247</v>
      </c>
      <c r="B208" t="s">
        <v>24</v>
      </c>
      <c r="C208" s="7">
        <v>45387</v>
      </c>
      <c r="D208" t="s">
        <v>25</v>
      </c>
      <c r="E208" t="s">
        <v>29</v>
      </c>
      <c r="F208">
        <v>2857</v>
      </c>
      <c r="G208">
        <v>443</v>
      </c>
      <c r="H208">
        <v>359</v>
      </c>
      <c r="I208">
        <v>51519</v>
      </c>
      <c r="J208">
        <v>28256</v>
      </c>
      <c r="K208">
        <v>155</v>
      </c>
      <c r="L208" t="s">
        <v>17</v>
      </c>
      <c r="M208" t="s">
        <v>18</v>
      </c>
    </row>
    <row r="209" spans="1:13">
      <c r="A209" t="s">
        <v>248</v>
      </c>
      <c r="B209" t="s">
        <v>24</v>
      </c>
      <c r="C209" s="7">
        <v>45754</v>
      </c>
      <c r="D209" t="s">
        <v>15</v>
      </c>
      <c r="E209" t="s">
        <v>49</v>
      </c>
      <c r="F209">
        <v>1403</v>
      </c>
      <c r="G209">
        <v>385</v>
      </c>
      <c r="H209">
        <v>344</v>
      </c>
      <c r="I209">
        <v>54223</v>
      </c>
      <c r="J209">
        <v>72595</v>
      </c>
      <c r="K209">
        <v>239</v>
      </c>
      <c r="L209" t="s">
        <v>45</v>
      </c>
      <c r="M209" t="s">
        <v>22</v>
      </c>
    </row>
    <row r="210" spans="1:13">
      <c r="A210" t="s">
        <v>249</v>
      </c>
      <c r="B210" t="s">
        <v>24</v>
      </c>
      <c r="C210" s="7">
        <v>45492</v>
      </c>
      <c r="D210" t="s">
        <v>25</v>
      </c>
      <c r="E210" t="s">
        <v>35</v>
      </c>
      <c r="F210">
        <v>3071</v>
      </c>
      <c r="G210">
        <v>126</v>
      </c>
      <c r="H210">
        <v>200</v>
      </c>
      <c r="I210">
        <v>44013</v>
      </c>
      <c r="J210">
        <v>44679</v>
      </c>
      <c r="K210">
        <v>118</v>
      </c>
      <c r="L210" t="s">
        <v>39</v>
      </c>
      <c r="M210" t="s">
        <v>18</v>
      </c>
    </row>
    <row r="211" spans="1:13">
      <c r="A211" t="s">
        <v>250</v>
      </c>
      <c r="B211" t="s">
        <v>24</v>
      </c>
      <c r="C211" s="7">
        <v>45780</v>
      </c>
      <c r="D211" t="s">
        <v>25</v>
      </c>
      <c r="E211" t="s">
        <v>41</v>
      </c>
      <c r="F211">
        <v>1010</v>
      </c>
      <c r="G211">
        <v>361</v>
      </c>
      <c r="H211">
        <v>240</v>
      </c>
      <c r="I211">
        <v>47229</v>
      </c>
      <c r="J211">
        <v>72573</v>
      </c>
      <c r="K211">
        <v>275</v>
      </c>
      <c r="L211" t="s">
        <v>17</v>
      </c>
      <c r="M211" t="s">
        <v>18</v>
      </c>
    </row>
    <row r="212" spans="1:13">
      <c r="A212" t="s">
        <v>251</v>
      </c>
      <c r="B212" t="s">
        <v>24</v>
      </c>
      <c r="C212" s="7">
        <v>45396</v>
      </c>
      <c r="D212" t="s">
        <v>25</v>
      </c>
      <c r="E212" t="s">
        <v>16</v>
      </c>
      <c r="F212">
        <v>1295</v>
      </c>
      <c r="G212">
        <v>153</v>
      </c>
      <c r="H212">
        <v>81</v>
      </c>
      <c r="I212">
        <v>48350</v>
      </c>
      <c r="J212">
        <v>61033</v>
      </c>
      <c r="K212">
        <v>232</v>
      </c>
      <c r="L212" t="s">
        <v>39</v>
      </c>
      <c r="M212" t="s">
        <v>18</v>
      </c>
    </row>
    <row r="213" spans="1:13">
      <c r="A213" t="s">
        <v>252</v>
      </c>
      <c r="B213" t="s">
        <v>24</v>
      </c>
      <c r="C213" s="7">
        <v>45827</v>
      </c>
      <c r="D213" t="s">
        <v>25</v>
      </c>
      <c r="E213" t="s">
        <v>35</v>
      </c>
      <c r="F213">
        <v>1433</v>
      </c>
      <c r="G213">
        <v>452</v>
      </c>
      <c r="H213">
        <v>305</v>
      </c>
      <c r="I213">
        <v>54541</v>
      </c>
      <c r="J213">
        <v>63700</v>
      </c>
      <c r="K213">
        <v>296</v>
      </c>
      <c r="L213" t="s">
        <v>39</v>
      </c>
      <c r="M213" t="s">
        <v>18</v>
      </c>
    </row>
    <row r="214" spans="1:13">
      <c r="A214" t="s">
        <v>253</v>
      </c>
      <c r="B214" t="s">
        <v>14</v>
      </c>
      <c r="C214" s="7">
        <v>45832</v>
      </c>
      <c r="D214" t="s">
        <v>25</v>
      </c>
      <c r="E214" t="s">
        <v>37</v>
      </c>
      <c r="F214">
        <v>4902</v>
      </c>
      <c r="G214">
        <v>422</v>
      </c>
      <c r="H214">
        <v>376</v>
      </c>
      <c r="I214">
        <v>31674</v>
      </c>
      <c r="J214">
        <v>53225</v>
      </c>
      <c r="K214">
        <v>147</v>
      </c>
      <c r="L214" t="s">
        <v>42</v>
      </c>
      <c r="M214" t="s">
        <v>55</v>
      </c>
    </row>
    <row r="215" spans="1:13">
      <c r="A215" t="s">
        <v>254</v>
      </c>
      <c r="B215" t="s">
        <v>24</v>
      </c>
      <c r="C215" s="7">
        <v>45574</v>
      </c>
      <c r="D215" t="s">
        <v>15</v>
      </c>
      <c r="E215" t="s">
        <v>29</v>
      </c>
      <c r="F215">
        <v>2659</v>
      </c>
      <c r="G215">
        <v>167</v>
      </c>
      <c r="H215">
        <v>73</v>
      </c>
      <c r="I215">
        <v>23090</v>
      </c>
      <c r="J215">
        <v>25872</v>
      </c>
      <c r="K215">
        <v>293</v>
      </c>
      <c r="L215" t="s">
        <v>45</v>
      </c>
      <c r="M215" t="s">
        <v>22</v>
      </c>
    </row>
    <row r="216" spans="1:13">
      <c r="A216" t="s">
        <v>255</v>
      </c>
      <c r="B216" t="s">
        <v>31</v>
      </c>
      <c r="C216" s="7">
        <v>45672</v>
      </c>
      <c r="D216" t="s">
        <v>15</v>
      </c>
      <c r="E216" t="s">
        <v>51</v>
      </c>
      <c r="F216">
        <v>2599</v>
      </c>
      <c r="G216">
        <v>324</v>
      </c>
      <c r="H216">
        <v>182</v>
      </c>
      <c r="I216">
        <v>37525</v>
      </c>
      <c r="J216">
        <v>37216</v>
      </c>
      <c r="K216">
        <v>186</v>
      </c>
      <c r="L216" t="s">
        <v>33</v>
      </c>
      <c r="M216" t="s">
        <v>22</v>
      </c>
    </row>
    <row r="217" spans="1:13">
      <c r="A217" t="s">
        <v>256</v>
      </c>
      <c r="B217" t="s">
        <v>24</v>
      </c>
      <c r="C217" s="7">
        <v>45669</v>
      </c>
      <c r="D217" t="s">
        <v>15</v>
      </c>
      <c r="E217" t="s">
        <v>32</v>
      </c>
      <c r="F217">
        <v>1765</v>
      </c>
      <c r="G217">
        <v>285</v>
      </c>
      <c r="H217">
        <v>100</v>
      </c>
      <c r="I217">
        <v>41313</v>
      </c>
      <c r="J217">
        <v>56575</v>
      </c>
      <c r="K217">
        <v>174</v>
      </c>
      <c r="L217" t="s">
        <v>45</v>
      </c>
      <c r="M217" t="s">
        <v>22</v>
      </c>
    </row>
    <row r="218" spans="1:13">
      <c r="A218" t="s">
        <v>257</v>
      </c>
      <c r="B218" t="s">
        <v>14</v>
      </c>
      <c r="C218" s="7">
        <v>45808</v>
      </c>
      <c r="D218" t="s">
        <v>15</v>
      </c>
      <c r="E218" t="s">
        <v>35</v>
      </c>
      <c r="F218">
        <v>2169</v>
      </c>
      <c r="G218">
        <v>240</v>
      </c>
      <c r="H218">
        <v>57</v>
      </c>
      <c r="I218">
        <v>26109</v>
      </c>
      <c r="J218">
        <v>46667</v>
      </c>
      <c r="K218">
        <v>133</v>
      </c>
      <c r="L218" t="s">
        <v>17</v>
      </c>
      <c r="M218" t="s">
        <v>18</v>
      </c>
    </row>
    <row r="219" spans="1:13">
      <c r="A219" t="s">
        <v>258</v>
      </c>
      <c r="B219" t="s">
        <v>24</v>
      </c>
      <c r="C219" s="7">
        <v>45579</v>
      </c>
      <c r="D219" t="s">
        <v>25</v>
      </c>
      <c r="E219" t="s">
        <v>20</v>
      </c>
      <c r="F219">
        <v>4303</v>
      </c>
      <c r="G219">
        <v>306</v>
      </c>
      <c r="H219">
        <v>302</v>
      </c>
      <c r="I219">
        <v>39575</v>
      </c>
      <c r="J219">
        <v>33762</v>
      </c>
      <c r="K219">
        <v>265</v>
      </c>
      <c r="L219" t="s">
        <v>39</v>
      </c>
      <c r="M219" t="s">
        <v>18</v>
      </c>
    </row>
    <row r="220" spans="1:13">
      <c r="A220" t="s">
        <v>259</v>
      </c>
      <c r="B220" t="s">
        <v>24</v>
      </c>
      <c r="C220" s="7">
        <v>45332</v>
      </c>
      <c r="D220" t="s">
        <v>15</v>
      </c>
      <c r="E220" t="s">
        <v>49</v>
      </c>
      <c r="F220">
        <v>1519</v>
      </c>
      <c r="G220">
        <v>456</v>
      </c>
      <c r="H220">
        <v>379</v>
      </c>
      <c r="I220">
        <v>51611</v>
      </c>
      <c r="J220">
        <v>45880</v>
      </c>
      <c r="K220">
        <v>176</v>
      </c>
      <c r="L220" t="s">
        <v>45</v>
      </c>
      <c r="M220" t="s">
        <v>22</v>
      </c>
    </row>
    <row r="221" spans="1:13">
      <c r="A221" t="s">
        <v>260</v>
      </c>
      <c r="B221" t="s">
        <v>31</v>
      </c>
      <c r="C221" s="7">
        <v>45636</v>
      </c>
      <c r="D221" t="s">
        <v>15</v>
      </c>
      <c r="E221" t="s">
        <v>35</v>
      </c>
      <c r="F221">
        <v>2569</v>
      </c>
      <c r="G221">
        <v>140</v>
      </c>
      <c r="H221">
        <v>375</v>
      </c>
      <c r="I221">
        <v>38372</v>
      </c>
      <c r="J221">
        <v>22102</v>
      </c>
      <c r="K221">
        <v>255</v>
      </c>
      <c r="L221" t="s">
        <v>33</v>
      </c>
      <c r="M221" t="s">
        <v>22</v>
      </c>
    </row>
    <row r="222" spans="1:13">
      <c r="A222" t="s">
        <v>261</v>
      </c>
      <c r="B222" t="s">
        <v>24</v>
      </c>
      <c r="C222" s="7">
        <v>45786</v>
      </c>
      <c r="D222" t="s">
        <v>25</v>
      </c>
      <c r="E222" t="s">
        <v>32</v>
      </c>
      <c r="F222">
        <v>2778</v>
      </c>
      <c r="G222">
        <v>241</v>
      </c>
      <c r="H222">
        <v>317</v>
      </c>
      <c r="I222">
        <v>26247</v>
      </c>
      <c r="J222">
        <v>20677</v>
      </c>
      <c r="K222">
        <v>282</v>
      </c>
      <c r="L222" t="s">
        <v>27</v>
      </c>
      <c r="M222" t="s">
        <v>18</v>
      </c>
    </row>
    <row r="223" spans="1:13">
      <c r="A223" t="s">
        <v>262</v>
      </c>
      <c r="B223" t="s">
        <v>24</v>
      </c>
      <c r="C223" s="7">
        <v>45829</v>
      </c>
      <c r="D223" t="s">
        <v>15</v>
      </c>
      <c r="E223" t="s">
        <v>20</v>
      </c>
      <c r="F223">
        <v>3611</v>
      </c>
      <c r="G223">
        <v>127</v>
      </c>
      <c r="H223">
        <v>139</v>
      </c>
      <c r="I223">
        <v>44768</v>
      </c>
      <c r="J223">
        <v>29435</v>
      </c>
      <c r="K223">
        <v>178</v>
      </c>
      <c r="L223" t="s">
        <v>42</v>
      </c>
      <c r="M223" t="s">
        <v>18</v>
      </c>
    </row>
    <row r="224" spans="1:13">
      <c r="A224" t="s">
        <v>263</v>
      </c>
      <c r="B224" t="s">
        <v>24</v>
      </c>
      <c r="C224" s="7">
        <v>45462</v>
      </c>
      <c r="D224" t="s">
        <v>15</v>
      </c>
      <c r="E224" t="s">
        <v>35</v>
      </c>
      <c r="F224">
        <v>1224</v>
      </c>
      <c r="G224">
        <v>168</v>
      </c>
      <c r="H224">
        <v>199</v>
      </c>
      <c r="I224">
        <v>54232</v>
      </c>
      <c r="J224">
        <v>52844</v>
      </c>
      <c r="K224">
        <v>271</v>
      </c>
      <c r="L224" t="s">
        <v>45</v>
      </c>
      <c r="M224" t="s">
        <v>22</v>
      </c>
    </row>
    <row r="225" spans="1:13">
      <c r="A225" t="s">
        <v>264</v>
      </c>
      <c r="B225" t="s">
        <v>24</v>
      </c>
      <c r="C225" s="7">
        <v>45636</v>
      </c>
      <c r="D225" t="s">
        <v>15</v>
      </c>
      <c r="E225" t="s">
        <v>49</v>
      </c>
      <c r="F225">
        <v>4673</v>
      </c>
      <c r="G225">
        <v>270</v>
      </c>
      <c r="H225">
        <v>93</v>
      </c>
      <c r="I225">
        <v>45260</v>
      </c>
      <c r="J225">
        <v>57513</v>
      </c>
      <c r="K225">
        <v>103</v>
      </c>
      <c r="L225" t="s">
        <v>42</v>
      </c>
      <c r="M225" t="s">
        <v>18</v>
      </c>
    </row>
    <row r="226" spans="1:13">
      <c r="A226" t="s">
        <v>265</v>
      </c>
      <c r="B226" t="s">
        <v>31</v>
      </c>
      <c r="C226" s="7">
        <v>45323</v>
      </c>
      <c r="D226" t="s">
        <v>15</v>
      </c>
      <c r="E226" t="s">
        <v>29</v>
      </c>
      <c r="F226">
        <v>1432</v>
      </c>
      <c r="G226">
        <v>437</v>
      </c>
      <c r="H226">
        <v>267</v>
      </c>
      <c r="I226">
        <v>40634</v>
      </c>
      <c r="J226">
        <v>54511</v>
      </c>
      <c r="K226">
        <v>197</v>
      </c>
      <c r="L226" t="s">
        <v>33</v>
      </c>
      <c r="M226" t="s">
        <v>22</v>
      </c>
    </row>
    <row r="227" spans="1:13">
      <c r="A227" t="s">
        <v>266</v>
      </c>
      <c r="B227" t="s">
        <v>24</v>
      </c>
      <c r="C227" s="7">
        <v>45308</v>
      </c>
      <c r="D227" t="s">
        <v>25</v>
      </c>
      <c r="E227" t="s">
        <v>26</v>
      </c>
      <c r="F227">
        <v>2174</v>
      </c>
      <c r="G227">
        <v>499</v>
      </c>
      <c r="H227">
        <v>212</v>
      </c>
      <c r="I227">
        <v>54938</v>
      </c>
      <c r="J227">
        <v>27190</v>
      </c>
      <c r="K227">
        <v>265</v>
      </c>
      <c r="L227" t="s">
        <v>27</v>
      </c>
      <c r="M227" t="s">
        <v>18</v>
      </c>
    </row>
    <row r="228" spans="1:13">
      <c r="A228" t="s">
        <v>267</v>
      </c>
      <c r="B228" t="s">
        <v>31</v>
      </c>
      <c r="C228" s="7">
        <v>45738</v>
      </c>
      <c r="D228" t="s">
        <v>15</v>
      </c>
      <c r="E228" t="s">
        <v>32</v>
      </c>
      <c r="F228">
        <v>4308</v>
      </c>
      <c r="G228">
        <v>171</v>
      </c>
      <c r="H228">
        <v>106</v>
      </c>
      <c r="I228">
        <v>36955</v>
      </c>
      <c r="J228">
        <v>23949</v>
      </c>
      <c r="K228">
        <v>294</v>
      </c>
      <c r="L228" t="s">
        <v>33</v>
      </c>
      <c r="M228" t="s">
        <v>22</v>
      </c>
    </row>
    <row r="229" spans="1:13">
      <c r="A229" t="s">
        <v>268</v>
      </c>
      <c r="B229" t="s">
        <v>31</v>
      </c>
      <c r="C229" s="7">
        <v>45442</v>
      </c>
      <c r="D229" t="s">
        <v>57</v>
      </c>
      <c r="E229" t="s">
        <v>35</v>
      </c>
      <c r="F229">
        <v>1060</v>
      </c>
      <c r="G229">
        <v>442</v>
      </c>
      <c r="H229">
        <v>319</v>
      </c>
      <c r="I229">
        <v>57194</v>
      </c>
      <c r="J229">
        <v>24258</v>
      </c>
      <c r="K229">
        <v>101</v>
      </c>
      <c r="L229" t="s">
        <v>58</v>
      </c>
      <c r="M229" t="s">
        <v>59</v>
      </c>
    </row>
    <row r="230" spans="1:13">
      <c r="A230" t="s">
        <v>269</v>
      </c>
      <c r="B230" t="s">
        <v>31</v>
      </c>
      <c r="C230" s="7">
        <v>45346</v>
      </c>
      <c r="D230" t="s">
        <v>15</v>
      </c>
      <c r="E230" t="s">
        <v>32</v>
      </c>
      <c r="F230">
        <v>4653</v>
      </c>
      <c r="G230">
        <v>226</v>
      </c>
      <c r="H230">
        <v>349</v>
      </c>
      <c r="I230">
        <v>56876</v>
      </c>
      <c r="J230">
        <v>28452</v>
      </c>
      <c r="K230">
        <v>257</v>
      </c>
      <c r="L230" t="s">
        <v>33</v>
      </c>
      <c r="M230" t="s">
        <v>22</v>
      </c>
    </row>
    <row r="231" spans="1:13">
      <c r="A231" t="s">
        <v>270</v>
      </c>
      <c r="B231" t="s">
        <v>31</v>
      </c>
      <c r="C231" s="7">
        <v>45791</v>
      </c>
      <c r="D231" t="s">
        <v>15</v>
      </c>
      <c r="E231" t="s">
        <v>16</v>
      </c>
      <c r="F231">
        <v>1701</v>
      </c>
      <c r="G231">
        <v>272</v>
      </c>
      <c r="H231">
        <v>385</v>
      </c>
      <c r="I231">
        <v>47496</v>
      </c>
      <c r="J231">
        <v>40832</v>
      </c>
      <c r="K231">
        <v>246</v>
      </c>
      <c r="L231" t="s">
        <v>33</v>
      </c>
      <c r="M231" t="s">
        <v>22</v>
      </c>
    </row>
    <row r="232" spans="1:13">
      <c r="A232" t="s">
        <v>271</v>
      </c>
      <c r="B232" t="s">
        <v>14</v>
      </c>
      <c r="C232" s="7">
        <v>45379</v>
      </c>
      <c r="D232" t="s">
        <v>15</v>
      </c>
      <c r="E232" t="s">
        <v>35</v>
      </c>
      <c r="F232">
        <v>1673</v>
      </c>
      <c r="G232">
        <v>280</v>
      </c>
      <c r="H232">
        <v>67</v>
      </c>
      <c r="I232">
        <v>29847</v>
      </c>
      <c r="J232">
        <v>48016</v>
      </c>
      <c r="K232">
        <v>213</v>
      </c>
      <c r="L232" t="s">
        <v>17</v>
      </c>
      <c r="M232" t="s">
        <v>18</v>
      </c>
    </row>
    <row r="233" spans="1:13">
      <c r="A233" t="s">
        <v>272</v>
      </c>
      <c r="B233" t="s">
        <v>31</v>
      </c>
      <c r="C233" s="7">
        <v>45723</v>
      </c>
      <c r="D233" t="s">
        <v>15</v>
      </c>
      <c r="E233" t="s">
        <v>41</v>
      </c>
      <c r="F233">
        <v>4310</v>
      </c>
      <c r="G233">
        <v>284</v>
      </c>
      <c r="H233">
        <v>306</v>
      </c>
      <c r="I233">
        <v>44606</v>
      </c>
      <c r="J233">
        <v>42604</v>
      </c>
      <c r="K233">
        <v>290</v>
      </c>
      <c r="L233" t="s">
        <v>33</v>
      </c>
      <c r="M233" t="s">
        <v>22</v>
      </c>
    </row>
    <row r="234" spans="1:13">
      <c r="A234" t="s">
        <v>273</v>
      </c>
      <c r="B234" t="s">
        <v>24</v>
      </c>
      <c r="C234" s="7">
        <v>45585</v>
      </c>
      <c r="D234" t="s">
        <v>15</v>
      </c>
      <c r="E234" t="s">
        <v>49</v>
      </c>
      <c r="F234">
        <v>2752</v>
      </c>
      <c r="G234">
        <v>309</v>
      </c>
      <c r="H234">
        <v>91</v>
      </c>
      <c r="I234">
        <v>39038</v>
      </c>
      <c r="J234">
        <v>28095</v>
      </c>
      <c r="K234">
        <v>277</v>
      </c>
      <c r="L234" t="s">
        <v>42</v>
      </c>
      <c r="M234" t="s">
        <v>18</v>
      </c>
    </row>
    <row r="235" spans="1:13">
      <c r="A235" t="s">
        <v>274</v>
      </c>
      <c r="B235" t="s">
        <v>24</v>
      </c>
      <c r="C235" s="7">
        <v>45324</v>
      </c>
      <c r="D235" t="s">
        <v>15</v>
      </c>
      <c r="E235" t="s">
        <v>49</v>
      </c>
      <c r="F235">
        <v>3818</v>
      </c>
      <c r="G235">
        <v>115</v>
      </c>
      <c r="H235">
        <v>286</v>
      </c>
      <c r="I235">
        <v>25127</v>
      </c>
      <c r="J235">
        <v>22277</v>
      </c>
      <c r="K235">
        <v>263</v>
      </c>
      <c r="L235" t="s">
        <v>42</v>
      </c>
      <c r="M235" t="s">
        <v>18</v>
      </c>
    </row>
    <row r="236" spans="1:13">
      <c r="A236" t="s">
        <v>275</v>
      </c>
      <c r="B236" t="s">
        <v>31</v>
      </c>
      <c r="C236" s="7">
        <v>45542</v>
      </c>
      <c r="D236" t="s">
        <v>15</v>
      </c>
      <c r="E236" t="s">
        <v>51</v>
      </c>
      <c r="F236">
        <v>2101</v>
      </c>
      <c r="G236">
        <v>411</v>
      </c>
      <c r="H236">
        <v>190</v>
      </c>
      <c r="I236">
        <v>41791</v>
      </c>
      <c r="J236">
        <v>57090</v>
      </c>
      <c r="K236">
        <v>172</v>
      </c>
      <c r="L236" t="s">
        <v>33</v>
      </c>
      <c r="M236" t="s">
        <v>22</v>
      </c>
    </row>
    <row r="237" spans="1:13">
      <c r="A237" t="s">
        <v>276</v>
      </c>
      <c r="B237" t="s">
        <v>14</v>
      </c>
      <c r="C237" s="7">
        <v>45646</v>
      </c>
      <c r="D237" t="s">
        <v>15</v>
      </c>
      <c r="E237" t="s">
        <v>16</v>
      </c>
      <c r="F237">
        <v>2519</v>
      </c>
      <c r="G237">
        <v>202</v>
      </c>
      <c r="H237">
        <v>239</v>
      </c>
      <c r="I237">
        <v>36245</v>
      </c>
      <c r="J237">
        <v>48606</v>
      </c>
      <c r="K237">
        <v>145</v>
      </c>
      <c r="L237" t="s">
        <v>21</v>
      </c>
      <c r="M237" t="s">
        <v>22</v>
      </c>
    </row>
    <row r="238" spans="1:13">
      <c r="A238" t="s">
        <v>277</v>
      </c>
      <c r="B238" t="s">
        <v>31</v>
      </c>
      <c r="C238" s="7">
        <v>45305</v>
      </c>
      <c r="D238" t="s">
        <v>15</v>
      </c>
      <c r="E238" t="s">
        <v>35</v>
      </c>
      <c r="F238">
        <v>4502</v>
      </c>
      <c r="G238">
        <v>238</v>
      </c>
      <c r="H238">
        <v>386</v>
      </c>
      <c r="I238">
        <v>39198</v>
      </c>
      <c r="J238">
        <v>25050</v>
      </c>
      <c r="K238">
        <v>297</v>
      </c>
      <c r="L238" t="s">
        <v>33</v>
      </c>
      <c r="M238" t="s">
        <v>22</v>
      </c>
    </row>
    <row r="239" spans="1:13">
      <c r="A239" t="s">
        <v>278</v>
      </c>
      <c r="B239" t="s">
        <v>14</v>
      </c>
      <c r="C239" s="7">
        <v>45823</v>
      </c>
      <c r="D239" t="s">
        <v>15</v>
      </c>
      <c r="E239" t="s">
        <v>20</v>
      </c>
      <c r="F239">
        <v>2478</v>
      </c>
      <c r="G239">
        <v>427</v>
      </c>
      <c r="H239">
        <v>242</v>
      </c>
      <c r="I239">
        <v>59272</v>
      </c>
      <c r="J239">
        <v>37833</v>
      </c>
      <c r="K239">
        <v>214</v>
      </c>
      <c r="L239" t="s">
        <v>17</v>
      </c>
      <c r="M239" t="s">
        <v>18</v>
      </c>
    </row>
    <row r="240" spans="1:13">
      <c r="A240" t="s">
        <v>279</v>
      </c>
      <c r="B240" t="s">
        <v>24</v>
      </c>
      <c r="C240" s="7">
        <v>45639</v>
      </c>
      <c r="D240" t="s">
        <v>25</v>
      </c>
      <c r="E240" t="s">
        <v>26</v>
      </c>
      <c r="F240">
        <v>4984</v>
      </c>
      <c r="G240">
        <v>300</v>
      </c>
      <c r="H240">
        <v>338</v>
      </c>
      <c r="I240">
        <v>32900</v>
      </c>
      <c r="J240">
        <v>31691</v>
      </c>
      <c r="K240">
        <v>160</v>
      </c>
      <c r="L240" t="s">
        <v>27</v>
      </c>
      <c r="M240" t="s">
        <v>18</v>
      </c>
    </row>
    <row r="241" spans="1:13">
      <c r="A241" t="s">
        <v>280</v>
      </c>
      <c r="B241" t="s">
        <v>31</v>
      </c>
      <c r="C241" s="7">
        <v>45533</v>
      </c>
      <c r="D241" t="s">
        <v>15</v>
      </c>
      <c r="E241" t="s">
        <v>29</v>
      </c>
      <c r="F241">
        <v>4774</v>
      </c>
      <c r="G241">
        <v>389</v>
      </c>
      <c r="H241">
        <v>358</v>
      </c>
      <c r="I241">
        <v>52346</v>
      </c>
      <c r="J241">
        <v>30518</v>
      </c>
      <c r="K241">
        <v>277</v>
      </c>
      <c r="L241" t="s">
        <v>33</v>
      </c>
      <c r="M241" t="s">
        <v>22</v>
      </c>
    </row>
    <row r="242" spans="1:13">
      <c r="A242" t="s">
        <v>281</v>
      </c>
      <c r="B242" t="s">
        <v>24</v>
      </c>
      <c r="C242" s="7">
        <v>45550</v>
      </c>
      <c r="D242" t="s">
        <v>15</v>
      </c>
      <c r="E242" t="s">
        <v>37</v>
      </c>
      <c r="F242">
        <v>2145</v>
      </c>
      <c r="G242">
        <v>340</v>
      </c>
      <c r="H242">
        <v>85</v>
      </c>
      <c r="I242">
        <v>53323</v>
      </c>
      <c r="J242">
        <v>49938</v>
      </c>
      <c r="K242">
        <v>104</v>
      </c>
      <c r="L242" t="s">
        <v>42</v>
      </c>
      <c r="M242" t="s">
        <v>18</v>
      </c>
    </row>
    <row r="243" spans="1:13">
      <c r="A243" t="s">
        <v>282</v>
      </c>
      <c r="B243" t="s">
        <v>24</v>
      </c>
      <c r="C243" s="7">
        <v>45759</v>
      </c>
      <c r="D243" t="s">
        <v>25</v>
      </c>
      <c r="E243" t="s">
        <v>49</v>
      </c>
      <c r="F243">
        <v>4315</v>
      </c>
      <c r="G243">
        <v>208</v>
      </c>
      <c r="H243">
        <v>273</v>
      </c>
      <c r="I243">
        <v>35780</v>
      </c>
      <c r="J243">
        <v>44349</v>
      </c>
      <c r="K243">
        <v>133</v>
      </c>
      <c r="L243" t="s">
        <v>39</v>
      </c>
      <c r="M243" t="s">
        <v>18</v>
      </c>
    </row>
    <row r="244" spans="1:13">
      <c r="A244" t="s">
        <v>283</v>
      </c>
      <c r="B244" t="s">
        <v>24</v>
      </c>
      <c r="C244" s="7">
        <v>45636</v>
      </c>
      <c r="D244" t="s">
        <v>25</v>
      </c>
      <c r="E244" t="s">
        <v>29</v>
      </c>
      <c r="F244">
        <v>2267</v>
      </c>
      <c r="G244">
        <v>230</v>
      </c>
      <c r="H244">
        <v>243</v>
      </c>
      <c r="I244">
        <v>27904</v>
      </c>
      <c r="J244">
        <v>69771</v>
      </c>
      <c r="K244">
        <v>255</v>
      </c>
      <c r="L244" t="s">
        <v>39</v>
      </c>
      <c r="M244" t="s">
        <v>18</v>
      </c>
    </row>
    <row r="245" spans="1:13">
      <c r="A245" t="s">
        <v>284</v>
      </c>
      <c r="B245" t="s">
        <v>31</v>
      </c>
      <c r="C245" s="7">
        <v>45816</v>
      </c>
      <c r="D245" t="s">
        <v>15</v>
      </c>
      <c r="E245" t="s">
        <v>32</v>
      </c>
      <c r="F245">
        <v>4375</v>
      </c>
      <c r="G245">
        <v>303</v>
      </c>
      <c r="H245">
        <v>294</v>
      </c>
      <c r="I245">
        <v>57468</v>
      </c>
      <c r="J245">
        <v>53397</v>
      </c>
      <c r="K245">
        <v>159</v>
      </c>
      <c r="L245" t="s">
        <v>33</v>
      </c>
      <c r="M245" t="s">
        <v>22</v>
      </c>
    </row>
    <row r="246" spans="1:13">
      <c r="A246" t="s">
        <v>285</v>
      </c>
      <c r="B246" t="s">
        <v>24</v>
      </c>
      <c r="C246" s="7">
        <v>45666</v>
      </c>
      <c r="D246" t="s">
        <v>25</v>
      </c>
      <c r="E246" t="s">
        <v>51</v>
      </c>
      <c r="F246">
        <v>3817</v>
      </c>
      <c r="G246">
        <v>284</v>
      </c>
      <c r="H246">
        <v>204</v>
      </c>
      <c r="I246">
        <v>46434</v>
      </c>
      <c r="J246">
        <v>53396</v>
      </c>
      <c r="K246">
        <v>104</v>
      </c>
      <c r="L246" t="s">
        <v>27</v>
      </c>
      <c r="M246" t="s">
        <v>18</v>
      </c>
    </row>
    <row r="247" spans="1:13">
      <c r="A247" t="s">
        <v>286</v>
      </c>
      <c r="B247" t="s">
        <v>24</v>
      </c>
      <c r="C247" s="7">
        <v>45481</v>
      </c>
      <c r="D247" t="s">
        <v>25</v>
      </c>
      <c r="E247" t="s">
        <v>41</v>
      </c>
      <c r="F247">
        <v>2981</v>
      </c>
      <c r="G247">
        <v>258</v>
      </c>
      <c r="H247">
        <v>168</v>
      </c>
      <c r="I247">
        <v>20677</v>
      </c>
      <c r="J247">
        <v>68290</v>
      </c>
      <c r="K247">
        <v>130</v>
      </c>
      <c r="L247" t="s">
        <v>17</v>
      </c>
      <c r="M247" t="s">
        <v>18</v>
      </c>
    </row>
    <row r="248" spans="1:13">
      <c r="A248" t="s">
        <v>287</v>
      </c>
      <c r="B248" t="s">
        <v>24</v>
      </c>
      <c r="C248" s="7">
        <v>45551</v>
      </c>
      <c r="D248" t="s">
        <v>25</v>
      </c>
      <c r="E248" t="s">
        <v>51</v>
      </c>
      <c r="F248">
        <v>3300</v>
      </c>
      <c r="G248">
        <v>354</v>
      </c>
      <c r="H248">
        <v>397</v>
      </c>
      <c r="I248">
        <v>56773</v>
      </c>
      <c r="J248">
        <v>72110</v>
      </c>
      <c r="K248">
        <v>163</v>
      </c>
      <c r="L248" t="s">
        <v>39</v>
      </c>
      <c r="M248" t="s">
        <v>18</v>
      </c>
    </row>
    <row r="249" spans="1:13">
      <c r="A249" t="s">
        <v>288</v>
      </c>
      <c r="B249" t="s">
        <v>31</v>
      </c>
      <c r="C249" s="7">
        <v>45457</v>
      </c>
      <c r="D249" t="s">
        <v>57</v>
      </c>
      <c r="E249" t="s">
        <v>29</v>
      </c>
      <c r="F249">
        <v>4722</v>
      </c>
      <c r="G249">
        <v>310</v>
      </c>
      <c r="H249">
        <v>344</v>
      </c>
      <c r="I249">
        <v>27911</v>
      </c>
      <c r="J249">
        <v>19000</v>
      </c>
      <c r="K249">
        <v>225</v>
      </c>
      <c r="L249" t="s">
        <v>58</v>
      </c>
      <c r="M249" t="s">
        <v>59</v>
      </c>
    </row>
    <row r="250" spans="1:13">
      <c r="A250" t="s">
        <v>289</v>
      </c>
      <c r="B250" t="s">
        <v>14</v>
      </c>
      <c r="C250" s="7">
        <v>45357</v>
      </c>
      <c r="D250" t="s">
        <v>15</v>
      </c>
      <c r="E250" t="s">
        <v>35</v>
      </c>
      <c r="F250">
        <v>3529</v>
      </c>
      <c r="G250">
        <v>263</v>
      </c>
      <c r="H250">
        <v>107</v>
      </c>
      <c r="I250">
        <v>26570</v>
      </c>
      <c r="J250">
        <v>19367</v>
      </c>
      <c r="K250">
        <v>96</v>
      </c>
      <c r="L250" t="s">
        <v>21</v>
      </c>
      <c r="M250" t="s">
        <v>22</v>
      </c>
    </row>
    <row r="251" spans="1:13">
      <c r="A251" t="s">
        <v>290</v>
      </c>
      <c r="B251" t="s">
        <v>24</v>
      </c>
      <c r="C251" s="7">
        <v>45792</v>
      </c>
      <c r="D251" t="s">
        <v>15</v>
      </c>
      <c r="E251" t="s">
        <v>51</v>
      </c>
      <c r="F251">
        <v>4782</v>
      </c>
      <c r="G251">
        <v>210</v>
      </c>
      <c r="H251">
        <v>311</v>
      </c>
      <c r="I251">
        <v>29793</v>
      </c>
      <c r="J251">
        <v>37543</v>
      </c>
      <c r="K251">
        <v>145</v>
      </c>
      <c r="L251" t="s">
        <v>42</v>
      </c>
      <c r="M251" t="s">
        <v>18</v>
      </c>
    </row>
    <row r="252" spans="1:13">
      <c r="A252" t="s">
        <v>291</v>
      </c>
      <c r="B252" t="s">
        <v>24</v>
      </c>
      <c r="C252" s="7">
        <v>45480</v>
      </c>
      <c r="D252" t="s">
        <v>15</v>
      </c>
      <c r="E252" t="s">
        <v>35</v>
      </c>
      <c r="F252">
        <v>1848</v>
      </c>
      <c r="G252">
        <v>417</v>
      </c>
      <c r="H252">
        <v>294</v>
      </c>
      <c r="I252">
        <v>57819</v>
      </c>
      <c r="J252">
        <v>19798</v>
      </c>
      <c r="K252">
        <v>262</v>
      </c>
      <c r="L252" t="s">
        <v>45</v>
      </c>
      <c r="M252" t="s">
        <v>22</v>
      </c>
    </row>
    <row r="253" spans="1:13">
      <c r="A253" t="s">
        <v>292</v>
      </c>
      <c r="B253" t="s">
        <v>31</v>
      </c>
      <c r="C253" s="7">
        <v>45591</v>
      </c>
      <c r="D253" t="s">
        <v>15</v>
      </c>
      <c r="E253" t="s">
        <v>26</v>
      </c>
      <c r="F253">
        <v>4676</v>
      </c>
      <c r="G253">
        <v>211</v>
      </c>
      <c r="H253">
        <v>55</v>
      </c>
      <c r="I253">
        <v>45917</v>
      </c>
      <c r="J253">
        <v>73503</v>
      </c>
      <c r="K253">
        <v>248</v>
      </c>
      <c r="L253" t="s">
        <v>33</v>
      </c>
      <c r="M253" t="s">
        <v>22</v>
      </c>
    </row>
    <row r="254" spans="1:13">
      <c r="A254" t="s">
        <v>293</v>
      </c>
      <c r="B254" t="s">
        <v>31</v>
      </c>
      <c r="C254" s="7">
        <v>45512</v>
      </c>
      <c r="D254" t="s">
        <v>15</v>
      </c>
      <c r="E254" t="s">
        <v>49</v>
      </c>
      <c r="F254">
        <v>1994</v>
      </c>
      <c r="G254">
        <v>197</v>
      </c>
      <c r="H254">
        <v>290</v>
      </c>
      <c r="I254">
        <v>49500</v>
      </c>
      <c r="J254">
        <v>23343</v>
      </c>
      <c r="K254">
        <v>160</v>
      </c>
      <c r="L254" t="s">
        <v>33</v>
      </c>
      <c r="M254" t="s">
        <v>22</v>
      </c>
    </row>
    <row r="255" spans="1:13">
      <c r="A255" t="s">
        <v>294</v>
      </c>
      <c r="B255" t="s">
        <v>24</v>
      </c>
      <c r="C255" s="7">
        <v>45691</v>
      </c>
      <c r="D255" t="s">
        <v>15</v>
      </c>
      <c r="E255" t="s">
        <v>35</v>
      </c>
      <c r="F255">
        <v>4995</v>
      </c>
      <c r="G255">
        <v>231</v>
      </c>
      <c r="H255">
        <v>94</v>
      </c>
      <c r="I255">
        <v>34431</v>
      </c>
      <c r="J255">
        <v>32560</v>
      </c>
      <c r="K255">
        <v>262</v>
      </c>
      <c r="L255" t="s">
        <v>42</v>
      </c>
      <c r="M255" t="s">
        <v>18</v>
      </c>
    </row>
    <row r="256" spans="1:13">
      <c r="A256" t="s">
        <v>295</v>
      </c>
      <c r="B256" t="s">
        <v>24</v>
      </c>
      <c r="C256" s="7">
        <v>45385</v>
      </c>
      <c r="D256" t="s">
        <v>25</v>
      </c>
      <c r="E256" t="s">
        <v>41</v>
      </c>
      <c r="F256">
        <v>2291</v>
      </c>
      <c r="G256">
        <v>146</v>
      </c>
      <c r="H256">
        <v>399</v>
      </c>
      <c r="I256">
        <v>49319</v>
      </c>
      <c r="J256">
        <v>28056</v>
      </c>
      <c r="K256">
        <v>90</v>
      </c>
      <c r="L256" t="s">
        <v>39</v>
      </c>
      <c r="M256" t="s">
        <v>18</v>
      </c>
    </row>
    <row r="257" spans="1:13">
      <c r="A257" t="s">
        <v>296</v>
      </c>
      <c r="B257" t="s">
        <v>24</v>
      </c>
      <c r="C257" s="7">
        <v>45481</v>
      </c>
      <c r="D257" t="s">
        <v>25</v>
      </c>
      <c r="E257" t="s">
        <v>29</v>
      </c>
      <c r="F257">
        <v>2304</v>
      </c>
      <c r="G257">
        <v>289</v>
      </c>
      <c r="H257">
        <v>161</v>
      </c>
      <c r="I257">
        <v>52645</v>
      </c>
      <c r="J257">
        <v>66262</v>
      </c>
      <c r="K257">
        <v>146</v>
      </c>
      <c r="L257" t="s">
        <v>27</v>
      </c>
      <c r="M257" t="s">
        <v>18</v>
      </c>
    </row>
    <row r="258" spans="1:13">
      <c r="A258" t="s">
        <v>297</v>
      </c>
      <c r="B258" t="s">
        <v>24</v>
      </c>
      <c r="C258" s="7">
        <v>45451</v>
      </c>
      <c r="D258" t="s">
        <v>25</v>
      </c>
      <c r="E258" t="s">
        <v>41</v>
      </c>
      <c r="F258">
        <v>3413</v>
      </c>
      <c r="G258">
        <v>326</v>
      </c>
      <c r="H258">
        <v>86</v>
      </c>
      <c r="I258">
        <v>44680</v>
      </c>
      <c r="J258">
        <v>52719</v>
      </c>
      <c r="K258">
        <v>272</v>
      </c>
      <c r="L258" t="s">
        <v>39</v>
      </c>
      <c r="M258" t="s">
        <v>18</v>
      </c>
    </row>
    <row r="259" spans="1:13">
      <c r="A259" t="s">
        <v>298</v>
      </c>
      <c r="B259" t="s">
        <v>31</v>
      </c>
      <c r="C259" s="7">
        <v>45736</v>
      </c>
      <c r="D259" t="s">
        <v>57</v>
      </c>
      <c r="E259" t="s">
        <v>49</v>
      </c>
      <c r="F259">
        <v>1453</v>
      </c>
      <c r="G259">
        <v>156</v>
      </c>
      <c r="H259">
        <v>178</v>
      </c>
      <c r="I259">
        <v>52980</v>
      </c>
      <c r="J259">
        <v>57180</v>
      </c>
      <c r="K259">
        <v>286</v>
      </c>
      <c r="L259" t="s">
        <v>58</v>
      </c>
      <c r="M259" t="s">
        <v>59</v>
      </c>
    </row>
    <row r="260" spans="1:13">
      <c r="A260" t="s">
        <v>299</v>
      </c>
      <c r="B260" t="s">
        <v>24</v>
      </c>
      <c r="C260" s="7">
        <v>45676</v>
      </c>
      <c r="D260" t="s">
        <v>25</v>
      </c>
      <c r="E260" t="s">
        <v>32</v>
      </c>
      <c r="F260">
        <v>1651</v>
      </c>
      <c r="G260">
        <v>480</v>
      </c>
      <c r="H260">
        <v>282</v>
      </c>
      <c r="I260">
        <v>32140</v>
      </c>
      <c r="J260">
        <v>70560</v>
      </c>
      <c r="K260">
        <v>138</v>
      </c>
      <c r="L260" t="s">
        <v>17</v>
      </c>
      <c r="M260" t="s">
        <v>18</v>
      </c>
    </row>
    <row r="261" spans="1:13">
      <c r="A261" t="s">
        <v>300</v>
      </c>
      <c r="B261" t="s">
        <v>24</v>
      </c>
      <c r="C261" s="7">
        <v>45662</v>
      </c>
      <c r="D261" t="s">
        <v>25</v>
      </c>
      <c r="E261" t="s">
        <v>20</v>
      </c>
      <c r="F261">
        <v>3341</v>
      </c>
      <c r="G261">
        <v>154</v>
      </c>
      <c r="H261">
        <v>123</v>
      </c>
      <c r="I261">
        <v>43369</v>
      </c>
      <c r="J261">
        <v>49035</v>
      </c>
      <c r="K261">
        <v>128</v>
      </c>
      <c r="L261" t="s">
        <v>27</v>
      </c>
      <c r="M261" t="s">
        <v>18</v>
      </c>
    </row>
    <row r="262" spans="1:13">
      <c r="A262" t="s">
        <v>301</v>
      </c>
      <c r="B262" t="s">
        <v>24</v>
      </c>
      <c r="C262" s="7">
        <v>45612</v>
      </c>
      <c r="D262" t="s">
        <v>15</v>
      </c>
      <c r="E262" t="s">
        <v>49</v>
      </c>
      <c r="F262">
        <v>2972</v>
      </c>
      <c r="G262">
        <v>263</v>
      </c>
      <c r="H262">
        <v>308</v>
      </c>
      <c r="I262">
        <v>51740</v>
      </c>
      <c r="J262">
        <v>28214</v>
      </c>
      <c r="K262">
        <v>190</v>
      </c>
      <c r="L262" t="s">
        <v>45</v>
      </c>
      <c r="M262" t="s">
        <v>22</v>
      </c>
    </row>
    <row r="263" spans="1:13">
      <c r="A263" t="s">
        <v>302</v>
      </c>
      <c r="B263" t="s">
        <v>24</v>
      </c>
      <c r="C263" s="7">
        <v>45626</v>
      </c>
      <c r="D263" t="s">
        <v>25</v>
      </c>
      <c r="E263" t="s">
        <v>20</v>
      </c>
      <c r="F263">
        <v>4963</v>
      </c>
      <c r="G263">
        <v>255</v>
      </c>
      <c r="H263">
        <v>193</v>
      </c>
      <c r="I263">
        <v>44386</v>
      </c>
      <c r="J263">
        <v>28415</v>
      </c>
      <c r="K263">
        <v>174</v>
      </c>
      <c r="L263" t="s">
        <v>27</v>
      </c>
      <c r="M263" t="s">
        <v>18</v>
      </c>
    </row>
    <row r="264" spans="1:13">
      <c r="A264" t="s">
        <v>303</v>
      </c>
      <c r="B264" t="s">
        <v>31</v>
      </c>
      <c r="C264" s="7">
        <v>45378</v>
      </c>
      <c r="D264" t="s">
        <v>15</v>
      </c>
      <c r="E264" t="s">
        <v>32</v>
      </c>
      <c r="F264">
        <v>2399</v>
      </c>
      <c r="G264">
        <v>191</v>
      </c>
      <c r="H264">
        <v>221</v>
      </c>
      <c r="I264">
        <v>51603</v>
      </c>
      <c r="J264">
        <v>40033</v>
      </c>
      <c r="K264">
        <v>173</v>
      </c>
      <c r="L264" t="s">
        <v>33</v>
      </c>
      <c r="M264" t="s">
        <v>22</v>
      </c>
    </row>
    <row r="265" spans="1:13">
      <c r="A265" t="s">
        <v>304</v>
      </c>
      <c r="B265" t="s">
        <v>31</v>
      </c>
      <c r="C265" s="7">
        <v>45808</v>
      </c>
      <c r="D265" t="s">
        <v>57</v>
      </c>
      <c r="E265" t="s">
        <v>37</v>
      </c>
      <c r="F265">
        <v>2162</v>
      </c>
      <c r="G265">
        <v>318</v>
      </c>
      <c r="H265">
        <v>83</v>
      </c>
      <c r="I265">
        <v>46719</v>
      </c>
      <c r="J265">
        <v>20482</v>
      </c>
      <c r="K265">
        <v>185</v>
      </c>
      <c r="L265" t="s">
        <v>58</v>
      </c>
      <c r="M265" t="s">
        <v>59</v>
      </c>
    </row>
    <row r="266" spans="1:13">
      <c r="A266" t="s">
        <v>305</v>
      </c>
      <c r="B266" t="s">
        <v>24</v>
      </c>
      <c r="C266" s="7">
        <v>45825</v>
      </c>
      <c r="D266" t="s">
        <v>25</v>
      </c>
      <c r="E266" t="s">
        <v>20</v>
      </c>
      <c r="F266">
        <v>4341</v>
      </c>
      <c r="G266">
        <v>141</v>
      </c>
      <c r="H266">
        <v>63</v>
      </c>
      <c r="I266">
        <v>50081</v>
      </c>
      <c r="J266">
        <v>27507</v>
      </c>
      <c r="K266">
        <v>221</v>
      </c>
      <c r="L266" t="s">
        <v>39</v>
      </c>
      <c r="M266" t="s">
        <v>18</v>
      </c>
    </row>
    <row r="267" spans="1:13">
      <c r="A267" t="s">
        <v>306</v>
      </c>
      <c r="B267" t="s">
        <v>14</v>
      </c>
      <c r="C267" s="7">
        <v>45442</v>
      </c>
      <c r="D267" t="s">
        <v>25</v>
      </c>
      <c r="E267" t="s">
        <v>37</v>
      </c>
      <c r="F267">
        <v>2448</v>
      </c>
      <c r="G267">
        <v>464</v>
      </c>
      <c r="H267">
        <v>98</v>
      </c>
      <c r="I267">
        <v>25737</v>
      </c>
      <c r="J267">
        <v>48545</v>
      </c>
      <c r="K267">
        <v>246</v>
      </c>
      <c r="L267" t="s">
        <v>42</v>
      </c>
      <c r="M267" t="s">
        <v>55</v>
      </c>
    </row>
    <row r="268" spans="1:13">
      <c r="A268" t="s">
        <v>307</v>
      </c>
      <c r="B268" t="s">
        <v>31</v>
      </c>
      <c r="C268" s="7">
        <v>45604</v>
      </c>
      <c r="D268" t="s">
        <v>15</v>
      </c>
      <c r="E268" t="s">
        <v>41</v>
      </c>
      <c r="F268">
        <v>2471</v>
      </c>
      <c r="G268">
        <v>166</v>
      </c>
      <c r="H268">
        <v>320</v>
      </c>
      <c r="I268">
        <v>48254</v>
      </c>
      <c r="J268">
        <v>46900</v>
      </c>
      <c r="K268">
        <v>111</v>
      </c>
      <c r="L268" t="s">
        <v>33</v>
      </c>
      <c r="M268" t="s">
        <v>22</v>
      </c>
    </row>
    <row r="269" spans="1:13">
      <c r="A269" t="s">
        <v>308</v>
      </c>
      <c r="B269" t="s">
        <v>31</v>
      </c>
      <c r="C269" s="7">
        <v>45368</v>
      </c>
      <c r="D269" t="s">
        <v>57</v>
      </c>
      <c r="E269" t="s">
        <v>20</v>
      </c>
      <c r="F269">
        <v>2692</v>
      </c>
      <c r="G269">
        <v>446</v>
      </c>
      <c r="H269">
        <v>216</v>
      </c>
      <c r="I269">
        <v>45818</v>
      </c>
      <c r="J269">
        <v>62723</v>
      </c>
      <c r="K269">
        <v>85</v>
      </c>
      <c r="L269" t="s">
        <v>58</v>
      </c>
      <c r="M269" t="s">
        <v>59</v>
      </c>
    </row>
    <row r="270" spans="1:13">
      <c r="A270" t="s">
        <v>309</v>
      </c>
      <c r="B270" t="s">
        <v>31</v>
      </c>
      <c r="C270" s="7">
        <v>45464</v>
      </c>
      <c r="D270" t="s">
        <v>57</v>
      </c>
      <c r="E270" t="s">
        <v>32</v>
      </c>
      <c r="F270">
        <v>4621</v>
      </c>
      <c r="G270">
        <v>374</v>
      </c>
      <c r="H270">
        <v>298</v>
      </c>
      <c r="I270">
        <v>56979</v>
      </c>
      <c r="J270">
        <v>24098</v>
      </c>
      <c r="K270">
        <v>205</v>
      </c>
      <c r="L270" t="s">
        <v>58</v>
      </c>
      <c r="M270" t="s">
        <v>59</v>
      </c>
    </row>
    <row r="271" spans="1:13">
      <c r="A271" t="s">
        <v>310</v>
      </c>
      <c r="B271" t="s">
        <v>24</v>
      </c>
      <c r="C271" s="7">
        <v>45609</v>
      </c>
      <c r="D271" t="s">
        <v>25</v>
      </c>
      <c r="E271" t="s">
        <v>26</v>
      </c>
      <c r="F271">
        <v>1409</v>
      </c>
      <c r="G271">
        <v>466</v>
      </c>
      <c r="H271">
        <v>105</v>
      </c>
      <c r="I271">
        <v>58923</v>
      </c>
      <c r="J271">
        <v>38753</v>
      </c>
      <c r="K271">
        <v>265</v>
      </c>
      <c r="L271" t="s">
        <v>39</v>
      </c>
      <c r="M271" t="s">
        <v>18</v>
      </c>
    </row>
    <row r="272" spans="1:13">
      <c r="A272" t="s">
        <v>311</v>
      </c>
      <c r="B272" t="s">
        <v>24</v>
      </c>
      <c r="C272" s="7">
        <v>45693</v>
      </c>
      <c r="D272" t="s">
        <v>25</v>
      </c>
      <c r="E272" t="s">
        <v>16</v>
      </c>
      <c r="F272">
        <v>3029</v>
      </c>
      <c r="G272">
        <v>440</v>
      </c>
      <c r="H272">
        <v>66</v>
      </c>
      <c r="I272">
        <v>23815</v>
      </c>
      <c r="J272">
        <v>47895</v>
      </c>
      <c r="K272">
        <v>210</v>
      </c>
      <c r="L272" t="s">
        <v>39</v>
      </c>
      <c r="M272" t="s">
        <v>18</v>
      </c>
    </row>
    <row r="273" spans="1:13">
      <c r="A273" t="s">
        <v>312</v>
      </c>
      <c r="B273" t="s">
        <v>24</v>
      </c>
      <c r="C273" s="7">
        <v>45603</v>
      </c>
      <c r="D273" t="s">
        <v>15</v>
      </c>
      <c r="E273" t="s">
        <v>20</v>
      </c>
      <c r="F273">
        <v>2229</v>
      </c>
      <c r="G273">
        <v>395</v>
      </c>
      <c r="H273">
        <v>328</v>
      </c>
      <c r="I273">
        <v>56921</v>
      </c>
      <c r="J273">
        <v>37176</v>
      </c>
      <c r="K273">
        <v>126</v>
      </c>
      <c r="L273" t="s">
        <v>45</v>
      </c>
      <c r="M273" t="s">
        <v>22</v>
      </c>
    </row>
    <row r="274" spans="1:13">
      <c r="A274" t="s">
        <v>313</v>
      </c>
      <c r="B274" t="s">
        <v>24</v>
      </c>
      <c r="C274" s="7">
        <v>45334</v>
      </c>
      <c r="D274" t="s">
        <v>15</v>
      </c>
      <c r="E274" t="s">
        <v>20</v>
      </c>
      <c r="F274">
        <v>2691</v>
      </c>
      <c r="G274">
        <v>486</v>
      </c>
      <c r="H274">
        <v>206</v>
      </c>
      <c r="I274">
        <v>51133</v>
      </c>
      <c r="J274">
        <v>44583</v>
      </c>
      <c r="K274">
        <v>276</v>
      </c>
      <c r="L274" t="s">
        <v>42</v>
      </c>
      <c r="M274" t="s">
        <v>18</v>
      </c>
    </row>
    <row r="275" spans="1:13">
      <c r="A275" t="s">
        <v>314</v>
      </c>
      <c r="B275" t="s">
        <v>14</v>
      </c>
      <c r="C275" s="7">
        <v>45573</v>
      </c>
      <c r="D275" t="s">
        <v>15</v>
      </c>
      <c r="E275" t="s">
        <v>20</v>
      </c>
      <c r="F275">
        <v>2110</v>
      </c>
      <c r="G275">
        <v>384</v>
      </c>
      <c r="H275">
        <v>236</v>
      </c>
      <c r="I275">
        <v>49965</v>
      </c>
      <c r="J275">
        <v>61555</v>
      </c>
      <c r="K275">
        <v>195</v>
      </c>
      <c r="L275" t="s">
        <v>21</v>
      </c>
      <c r="M275" t="s">
        <v>22</v>
      </c>
    </row>
    <row r="276" spans="1:13">
      <c r="A276" t="s">
        <v>315</v>
      </c>
      <c r="B276" t="s">
        <v>14</v>
      </c>
      <c r="C276" s="7">
        <v>45341</v>
      </c>
      <c r="D276" t="s">
        <v>15</v>
      </c>
      <c r="E276" t="s">
        <v>29</v>
      </c>
      <c r="F276">
        <v>4752</v>
      </c>
      <c r="G276">
        <v>449</v>
      </c>
      <c r="H276">
        <v>309</v>
      </c>
      <c r="I276">
        <v>58530</v>
      </c>
      <c r="J276">
        <v>26630</v>
      </c>
      <c r="K276">
        <v>234</v>
      </c>
      <c r="L276" t="s">
        <v>21</v>
      </c>
      <c r="M276" t="s">
        <v>22</v>
      </c>
    </row>
    <row r="277" spans="1:13">
      <c r="A277" t="s">
        <v>316</v>
      </c>
      <c r="B277" t="s">
        <v>24</v>
      </c>
      <c r="C277" s="7">
        <v>45720</v>
      </c>
      <c r="D277" t="s">
        <v>15</v>
      </c>
      <c r="E277" t="s">
        <v>16</v>
      </c>
      <c r="F277">
        <v>2177</v>
      </c>
      <c r="G277">
        <v>258</v>
      </c>
      <c r="H277">
        <v>292</v>
      </c>
      <c r="I277">
        <v>47276</v>
      </c>
      <c r="J277">
        <v>51324</v>
      </c>
      <c r="K277">
        <v>143</v>
      </c>
      <c r="L277" t="s">
        <v>42</v>
      </c>
      <c r="M277" t="s">
        <v>18</v>
      </c>
    </row>
    <row r="278" spans="1:13">
      <c r="A278" t="s">
        <v>317</v>
      </c>
      <c r="B278" t="s">
        <v>14</v>
      </c>
      <c r="C278" s="7">
        <v>45691</v>
      </c>
      <c r="D278" t="s">
        <v>25</v>
      </c>
      <c r="E278" t="s">
        <v>26</v>
      </c>
      <c r="F278">
        <v>1205</v>
      </c>
      <c r="G278">
        <v>486</v>
      </c>
      <c r="H278">
        <v>269</v>
      </c>
      <c r="I278">
        <v>23341</v>
      </c>
      <c r="J278">
        <v>42411</v>
      </c>
      <c r="K278">
        <v>184</v>
      </c>
      <c r="L278" t="s">
        <v>42</v>
      </c>
      <c r="M278" t="s">
        <v>55</v>
      </c>
    </row>
    <row r="279" spans="1:13">
      <c r="A279" t="s">
        <v>318</v>
      </c>
      <c r="B279" t="s">
        <v>14</v>
      </c>
      <c r="C279" s="7">
        <v>45628</v>
      </c>
      <c r="D279" t="s">
        <v>15</v>
      </c>
      <c r="E279" t="s">
        <v>41</v>
      </c>
      <c r="F279">
        <v>3194</v>
      </c>
      <c r="G279">
        <v>292</v>
      </c>
      <c r="H279">
        <v>245</v>
      </c>
      <c r="I279">
        <v>56371</v>
      </c>
      <c r="J279">
        <v>65597</v>
      </c>
      <c r="K279">
        <v>163</v>
      </c>
      <c r="L279" t="s">
        <v>17</v>
      </c>
      <c r="M279" t="s">
        <v>18</v>
      </c>
    </row>
    <row r="280" spans="1:13">
      <c r="A280" t="s">
        <v>319</v>
      </c>
      <c r="B280" t="s">
        <v>24</v>
      </c>
      <c r="C280" s="7">
        <v>45676</v>
      </c>
      <c r="D280" t="s">
        <v>25</v>
      </c>
      <c r="E280" t="s">
        <v>26</v>
      </c>
      <c r="F280">
        <v>3507</v>
      </c>
      <c r="G280">
        <v>295</v>
      </c>
      <c r="H280">
        <v>371</v>
      </c>
      <c r="I280">
        <v>20410</v>
      </c>
      <c r="J280">
        <v>53965</v>
      </c>
      <c r="K280">
        <v>212</v>
      </c>
      <c r="L280" t="s">
        <v>17</v>
      </c>
      <c r="M280" t="s">
        <v>18</v>
      </c>
    </row>
    <row r="281" spans="1:13">
      <c r="A281" t="s">
        <v>320</v>
      </c>
      <c r="B281" t="s">
        <v>24</v>
      </c>
      <c r="C281" s="7">
        <v>45563</v>
      </c>
      <c r="D281" t="s">
        <v>25</v>
      </c>
      <c r="E281" t="s">
        <v>29</v>
      </c>
      <c r="F281">
        <v>4471</v>
      </c>
      <c r="G281">
        <v>317</v>
      </c>
      <c r="H281">
        <v>249</v>
      </c>
      <c r="I281">
        <v>44862</v>
      </c>
      <c r="J281">
        <v>33365</v>
      </c>
      <c r="K281">
        <v>184</v>
      </c>
      <c r="L281" t="s">
        <v>39</v>
      </c>
      <c r="M281" t="s">
        <v>18</v>
      </c>
    </row>
    <row r="282" spans="1:13">
      <c r="A282" t="s">
        <v>321</v>
      </c>
      <c r="B282" t="s">
        <v>14</v>
      </c>
      <c r="C282" s="7">
        <v>45298</v>
      </c>
      <c r="D282" t="s">
        <v>15</v>
      </c>
      <c r="E282" t="s">
        <v>41</v>
      </c>
      <c r="F282">
        <v>4931</v>
      </c>
      <c r="G282">
        <v>469</v>
      </c>
      <c r="H282">
        <v>193</v>
      </c>
      <c r="I282">
        <v>56701</v>
      </c>
      <c r="J282">
        <v>69437</v>
      </c>
      <c r="K282">
        <v>291</v>
      </c>
      <c r="L282" t="s">
        <v>17</v>
      </c>
      <c r="M282" t="s">
        <v>18</v>
      </c>
    </row>
    <row r="283" spans="1:13">
      <c r="A283" t="s">
        <v>322</v>
      </c>
      <c r="B283" t="s">
        <v>24</v>
      </c>
      <c r="C283" s="7">
        <v>45343</v>
      </c>
      <c r="D283" t="s">
        <v>25</v>
      </c>
      <c r="E283" t="s">
        <v>37</v>
      </c>
      <c r="F283">
        <v>2604</v>
      </c>
      <c r="G283">
        <v>439</v>
      </c>
      <c r="H283">
        <v>148</v>
      </c>
      <c r="I283">
        <v>58468</v>
      </c>
      <c r="J283">
        <v>39629</v>
      </c>
      <c r="K283">
        <v>163</v>
      </c>
      <c r="L283" t="s">
        <v>27</v>
      </c>
      <c r="M283" t="s">
        <v>18</v>
      </c>
    </row>
    <row r="284" spans="1:13">
      <c r="A284" t="s">
        <v>323</v>
      </c>
      <c r="B284" t="s">
        <v>14</v>
      </c>
      <c r="C284" s="7">
        <v>45531</v>
      </c>
      <c r="D284" t="s">
        <v>15</v>
      </c>
      <c r="E284" t="s">
        <v>32</v>
      </c>
      <c r="F284">
        <v>4197</v>
      </c>
      <c r="G284">
        <v>359</v>
      </c>
      <c r="H284">
        <v>280</v>
      </c>
      <c r="I284">
        <v>56048</v>
      </c>
      <c r="J284">
        <v>70930</v>
      </c>
      <c r="K284">
        <v>295</v>
      </c>
      <c r="L284" t="s">
        <v>21</v>
      </c>
      <c r="M284" t="s">
        <v>22</v>
      </c>
    </row>
    <row r="285" spans="1:13">
      <c r="A285" t="s">
        <v>324</v>
      </c>
      <c r="B285" t="s">
        <v>14</v>
      </c>
      <c r="C285" s="7">
        <v>45589</v>
      </c>
      <c r="D285" t="s">
        <v>25</v>
      </c>
      <c r="E285" t="s">
        <v>41</v>
      </c>
      <c r="F285">
        <v>1914</v>
      </c>
      <c r="G285">
        <v>255</v>
      </c>
      <c r="H285">
        <v>156</v>
      </c>
      <c r="I285">
        <v>27660</v>
      </c>
      <c r="J285">
        <v>47776</v>
      </c>
      <c r="K285">
        <v>111</v>
      </c>
      <c r="L285" t="s">
        <v>42</v>
      </c>
      <c r="M285" t="s">
        <v>55</v>
      </c>
    </row>
    <row r="286" spans="1:13">
      <c r="A286" t="s">
        <v>325</v>
      </c>
      <c r="B286" t="s">
        <v>31</v>
      </c>
      <c r="C286" s="7">
        <v>45686</v>
      </c>
      <c r="D286" t="s">
        <v>15</v>
      </c>
      <c r="E286" t="s">
        <v>26</v>
      </c>
      <c r="F286">
        <v>1334</v>
      </c>
      <c r="G286">
        <v>357</v>
      </c>
      <c r="H286">
        <v>257</v>
      </c>
      <c r="I286">
        <v>56910</v>
      </c>
      <c r="J286">
        <v>70606</v>
      </c>
      <c r="K286">
        <v>228</v>
      </c>
      <c r="L286" t="s">
        <v>33</v>
      </c>
      <c r="M286" t="s">
        <v>22</v>
      </c>
    </row>
    <row r="287" spans="1:13">
      <c r="A287" t="s">
        <v>326</v>
      </c>
      <c r="B287" t="s">
        <v>14</v>
      </c>
      <c r="C287" s="7">
        <v>45413</v>
      </c>
      <c r="D287" t="s">
        <v>15</v>
      </c>
      <c r="E287" t="s">
        <v>37</v>
      </c>
      <c r="F287">
        <v>3359</v>
      </c>
      <c r="G287">
        <v>137</v>
      </c>
      <c r="H287">
        <v>387</v>
      </c>
      <c r="I287">
        <v>33861</v>
      </c>
      <c r="J287">
        <v>47257</v>
      </c>
      <c r="K287">
        <v>198</v>
      </c>
      <c r="L287" t="s">
        <v>21</v>
      </c>
      <c r="M287" t="s">
        <v>22</v>
      </c>
    </row>
    <row r="288" spans="1:13">
      <c r="A288" t="s">
        <v>327</v>
      </c>
      <c r="B288" t="s">
        <v>31</v>
      </c>
      <c r="C288" s="7">
        <v>45468</v>
      </c>
      <c r="D288" t="s">
        <v>15</v>
      </c>
      <c r="E288" t="s">
        <v>51</v>
      </c>
      <c r="F288">
        <v>2172</v>
      </c>
      <c r="G288">
        <v>338</v>
      </c>
      <c r="H288">
        <v>70</v>
      </c>
      <c r="I288">
        <v>30515</v>
      </c>
      <c r="J288">
        <v>57853</v>
      </c>
      <c r="K288">
        <v>156</v>
      </c>
      <c r="L288" t="s">
        <v>33</v>
      </c>
      <c r="M288" t="s">
        <v>22</v>
      </c>
    </row>
    <row r="289" spans="1:13">
      <c r="A289" t="s">
        <v>328</v>
      </c>
      <c r="B289" t="s">
        <v>24</v>
      </c>
      <c r="C289" s="7">
        <v>45513</v>
      </c>
      <c r="D289" t="s">
        <v>25</v>
      </c>
      <c r="E289" t="s">
        <v>49</v>
      </c>
      <c r="F289">
        <v>4877</v>
      </c>
      <c r="G289">
        <v>442</v>
      </c>
      <c r="H289">
        <v>236</v>
      </c>
      <c r="I289">
        <v>52673</v>
      </c>
      <c r="J289">
        <v>48241</v>
      </c>
      <c r="K289">
        <v>114</v>
      </c>
      <c r="L289" t="s">
        <v>39</v>
      </c>
      <c r="M289" t="s">
        <v>18</v>
      </c>
    </row>
    <row r="290" spans="1:13">
      <c r="A290" t="s">
        <v>329</v>
      </c>
      <c r="B290" t="s">
        <v>14</v>
      </c>
      <c r="C290" s="7">
        <v>45678</v>
      </c>
      <c r="D290" t="s">
        <v>25</v>
      </c>
      <c r="E290" t="s">
        <v>26</v>
      </c>
      <c r="F290">
        <v>4918</v>
      </c>
      <c r="G290">
        <v>440</v>
      </c>
      <c r="H290">
        <v>149</v>
      </c>
      <c r="I290">
        <v>53269</v>
      </c>
      <c r="J290">
        <v>64370</v>
      </c>
      <c r="K290">
        <v>269</v>
      </c>
      <c r="L290" t="s">
        <v>42</v>
      </c>
      <c r="M290" t="s">
        <v>55</v>
      </c>
    </row>
    <row r="291" spans="1:13">
      <c r="A291" t="s">
        <v>330</v>
      </c>
      <c r="B291" t="s">
        <v>24</v>
      </c>
      <c r="C291" s="7">
        <v>45517</v>
      </c>
      <c r="D291" t="s">
        <v>15</v>
      </c>
      <c r="E291" t="s">
        <v>20</v>
      </c>
      <c r="F291">
        <v>3418</v>
      </c>
      <c r="G291">
        <v>107</v>
      </c>
      <c r="H291">
        <v>221</v>
      </c>
      <c r="I291">
        <v>23927</v>
      </c>
      <c r="J291">
        <v>26182</v>
      </c>
      <c r="K291">
        <v>155</v>
      </c>
      <c r="L291" t="s">
        <v>45</v>
      </c>
      <c r="M291" t="s">
        <v>22</v>
      </c>
    </row>
    <row r="292" spans="1:13">
      <c r="A292" t="s">
        <v>331</v>
      </c>
      <c r="B292" t="s">
        <v>14</v>
      </c>
      <c r="C292" s="7">
        <v>45472</v>
      </c>
      <c r="D292" t="s">
        <v>15</v>
      </c>
      <c r="E292" t="s">
        <v>51</v>
      </c>
      <c r="F292">
        <v>2088</v>
      </c>
      <c r="G292">
        <v>490</v>
      </c>
      <c r="H292">
        <v>124</v>
      </c>
      <c r="I292">
        <v>46544</v>
      </c>
      <c r="J292">
        <v>69346</v>
      </c>
      <c r="K292">
        <v>178</v>
      </c>
      <c r="L292" t="s">
        <v>17</v>
      </c>
      <c r="M292" t="s">
        <v>18</v>
      </c>
    </row>
    <row r="293" spans="1:13">
      <c r="A293" t="s">
        <v>332</v>
      </c>
      <c r="B293" t="s">
        <v>24</v>
      </c>
      <c r="C293" s="7">
        <v>45599</v>
      </c>
      <c r="D293" t="s">
        <v>25</v>
      </c>
      <c r="E293" t="s">
        <v>20</v>
      </c>
      <c r="F293">
        <v>3061</v>
      </c>
      <c r="G293">
        <v>320</v>
      </c>
      <c r="H293">
        <v>76</v>
      </c>
      <c r="I293">
        <v>26640</v>
      </c>
      <c r="J293">
        <v>24306</v>
      </c>
      <c r="K293">
        <v>112</v>
      </c>
      <c r="L293" t="s">
        <v>27</v>
      </c>
      <c r="M293" t="s">
        <v>18</v>
      </c>
    </row>
    <row r="294" spans="1:13">
      <c r="A294" t="s">
        <v>333</v>
      </c>
      <c r="B294" t="s">
        <v>31</v>
      </c>
      <c r="C294" s="7">
        <v>45765</v>
      </c>
      <c r="D294" t="s">
        <v>57</v>
      </c>
      <c r="E294" t="s">
        <v>51</v>
      </c>
      <c r="F294">
        <v>1265</v>
      </c>
      <c r="G294">
        <v>230</v>
      </c>
      <c r="H294">
        <v>364</v>
      </c>
      <c r="I294">
        <v>41312</v>
      </c>
      <c r="J294">
        <v>50382</v>
      </c>
      <c r="K294">
        <v>106</v>
      </c>
      <c r="L294" t="s">
        <v>58</v>
      </c>
      <c r="M294" t="s">
        <v>59</v>
      </c>
    </row>
    <row r="295" spans="1:13">
      <c r="A295" t="s">
        <v>334</v>
      </c>
      <c r="B295" t="s">
        <v>14</v>
      </c>
      <c r="C295" s="7">
        <v>45653</v>
      </c>
      <c r="D295" t="s">
        <v>15</v>
      </c>
      <c r="E295" t="s">
        <v>49</v>
      </c>
      <c r="F295">
        <v>1436</v>
      </c>
      <c r="G295">
        <v>219</v>
      </c>
      <c r="H295">
        <v>229</v>
      </c>
      <c r="I295">
        <v>58488</v>
      </c>
      <c r="J295">
        <v>24314</v>
      </c>
      <c r="K295">
        <v>147</v>
      </c>
      <c r="L295" t="s">
        <v>21</v>
      </c>
      <c r="M295" t="s">
        <v>22</v>
      </c>
    </row>
    <row r="296" spans="1:13">
      <c r="A296" t="s">
        <v>335</v>
      </c>
      <c r="B296" t="s">
        <v>14</v>
      </c>
      <c r="C296" s="7">
        <v>45724</v>
      </c>
      <c r="D296" t="s">
        <v>25</v>
      </c>
      <c r="E296" t="s">
        <v>41</v>
      </c>
      <c r="F296">
        <v>2244</v>
      </c>
      <c r="G296">
        <v>392</v>
      </c>
      <c r="H296">
        <v>231</v>
      </c>
      <c r="I296">
        <v>25834</v>
      </c>
      <c r="J296">
        <v>50906</v>
      </c>
      <c r="K296">
        <v>165</v>
      </c>
      <c r="L296" t="s">
        <v>42</v>
      </c>
      <c r="M296" t="s">
        <v>55</v>
      </c>
    </row>
    <row r="297" spans="1:13">
      <c r="A297" t="s">
        <v>336</v>
      </c>
      <c r="B297" t="s">
        <v>24</v>
      </c>
      <c r="C297" s="7">
        <v>45736</v>
      </c>
      <c r="D297" t="s">
        <v>25</v>
      </c>
      <c r="E297" t="s">
        <v>51</v>
      </c>
      <c r="F297">
        <v>3393</v>
      </c>
      <c r="G297">
        <v>104</v>
      </c>
      <c r="H297">
        <v>79</v>
      </c>
      <c r="I297">
        <v>30025</v>
      </c>
      <c r="J297">
        <v>21593</v>
      </c>
      <c r="K297">
        <v>165</v>
      </c>
      <c r="L297" t="s">
        <v>27</v>
      </c>
      <c r="M297" t="s">
        <v>18</v>
      </c>
    </row>
    <row r="298" spans="1:13">
      <c r="A298" t="s">
        <v>337</v>
      </c>
      <c r="B298" t="s">
        <v>24</v>
      </c>
      <c r="C298" s="7">
        <v>45612</v>
      </c>
      <c r="D298" t="s">
        <v>15</v>
      </c>
      <c r="E298" t="s">
        <v>20</v>
      </c>
      <c r="F298">
        <v>2901</v>
      </c>
      <c r="G298">
        <v>108</v>
      </c>
      <c r="H298">
        <v>86</v>
      </c>
      <c r="I298">
        <v>51777</v>
      </c>
      <c r="J298">
        <v>23773</v>
      </c>
      <c r="K298">
        <v>160</v>
      </c>
      <c r="L298" t="s">
        <v>45</v>
      </c>
      <c r="M298" t="s">
        <v>22</v>
      </c>
    </row>
    <row r="299" spans="1:13">
      <c r="A299" t="s">
        <v>338</v>
      </c>
      <c r="B299" t="s">
        <v>24</v>
      </c>
      <c r="C299" s="7">
        <v>45838</v>
      </c>
      <c r="D299" t="s">
        <v>15</v>
      </c>
      <c r="E299" t="s">
        <v>35</v>
      </c>
      <c r="F299">
        <v>2275</v>
      </c>
      <c r="G299">
        <v>285</v>
      </c>
      <c r="H299">
        <v>125</v>
      </c>
      <c r="I299">
        <v>43970</v>
      </c>
      <c r="J299">
        <v>74761</v>
      </c>
      <c r="K299">
        <v>83</v>
      </c>
      <c r="L299" t="s">
        <v>42</v>
      </c>
      <c r="M299" t="s">
        <v>18</v>
      </c>
    </row>
    <row r="300" spans="1:13">
      <c r="A300" t="s">
        <v>339</v>
      </c>
      <c r="B300" t="s">
        <v>24</v>
      </c>
      <c r="C300" s="7">
        <v>45303</v>
      </c>
      <c r="D300" t="s">
        <v>25</v>
      </c>
      <c r="E300" t="s">
        <v>29</v>
      </c>
      <c r="F300">
        <v>2227</v>
      </c>
      <c r="G300">
        <v>494</v>
      </c>
      <c r="H300">
        <v>161</v>
      </c>
      <c r="I300">
        <v>51651</v>
      </c>
      <c r="J300">
        <v>68074</v>
      </c>
      <c r="K300">
        <v>240</v>
      </c>
      <c r="L300" t="s">
        <v>39</v>
      </c>
      <c r="M300" t="s">
        <v>18</v>
      </c>
    </row>
    <row r="301" spans="1:13">
      <c r="A301" t="s">
        <v>340</v>
      </c>
      <c r="B301" t="s">
        <v>14</v>
      </c>
      <c r="C301" s="7">
        <v>45329</v>
      </c>
      <c r="D301" t="s">
        <v>15</v>
      </c>
      <c r="E301" t="s">
        <v>32</v>
      </c>
      <c r="F301">
        <v>1883</v>
      </c>
      <c r="G301">
        <v>432</v>
      </c>
      <c r="H301">
        <v>397</v>
      </c>
      <c r="I301">
        <v>28759</v>
      </c>
      <c r="J301">
        <v>18691</v>
      </c>
      <c r="K301">
        <v>270</v>
      </c>
      <c r="L301" t="s">
        <v>17</v>
      </c>
      <c r="M301" t="s">
        <v>18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DEBF3-38FD-4650-B60D-B436272FBB17}">
  <dimension ref="A1:G201"/>
  <sheetViews>
    <sheetView workbookViewId="0">
      <selection sqref="A1:G201"/>
    </sheetView>
  </sheetViews>
  <sheetFormatPr defaultRowHeight="14.4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</cols>
  <sheetData>
    <row r="1" spans="1:7">
      <c r="A1" t="s">
        <v>341</v>
      </c>
      <c r="B1" t="s">
        <v>1</v>
      </c>
      <c r="C1" t="s">
        <v>342</v>
      </c>
      <c r="D1" t="s">
        <v>343</v>
      </c>
      <c r="E1" t="s">
        <v>344</v>
      </c>
      <c r="F1" t="s">
        <v>345</v>
      </c>
      <c r="G1" t="s">
        <v>346</v>
      </c>
    </row>
    <row r="2" spans="1:7">
      <c r="A2" s="7">
        <v>45446</v>
      </c>
      <c r="B2" t="s">
        <v>14</v>
      </c>
      <c r="C2">
        <v>1402</v>
      </c>
      <c r="D2">
        <v>68</v>
      </c>
      <c r="E2">
        <v>124562</v>
      </c>
      <c r="F2">
        <v>9.92</v>
      </c>
      <c r="G2">
        <v>23125</v>
      </c>
    </row>
    <row r="3" spans="1:7">
      <c r="A3" s="7">
        <v>45446</v>
      </c>
      <c r="B3" t="s">
        <v>24</v>
      </c>
      <c r="C3">
        <v>995</v>
      </c>
      <c r="D3">
        <v>86</v>
      </c>
      <c r="E3">
        <v>227958</v>
      </c>
      <c r="F3">
        <v>8.0500000000000007</v>
      </c>
      <c r="G3">
        <v>22788</v>
      </c>
    </row>
    <row r="4" spans="1:7">
      <c r="A4" s="7">
        <v>45446</v>
      </c>
      <c r="B4" t="s">
        <v>31</v>
      </c>
      <c r="C4">
        <v>1472</v>
      </c>
      <c r="D4">
        <v>296</v>
      </c>
      <c r="E4">
        <v>370242</v>
      </c>
      <c r="F4">
        <v>7.72</v>
      </c>
      <c r="G4">
        <v>7810</v>
      </c>
    </row>
    <row r="5" spans="1:7">
      <c r="A5" s="7">
        <v>45453</v>
      </c>
      <c r="B5" t="s">
        <v>14</v>
      </c>
      <c r="C5">
        <v>1018</v>
      </c>
      <c r="D5">
        <v>90</v>
      </c>
      <c r="E5">
        <v>92474</v>
      </c>
      <c r="F5">
        <v>9.4</v>
      </c>
      <c r="G5">
        <v>11966</v>
      </c>
    </row>
    <row r="6" spans="1:7">
      <c r="A6" s="7">
        <v>45453</v>
      </c>
      <c r="B6" t="s">
        <v>24</v>
      </c>
      <c r="C6">
        <v>1461</v>
      </c>
      <c r="D6">
        <v>64</v>
      </c>
      <c r="E6">
        <v>328902</v>
      </c>
      <c r="F6">
        <v>9.02</v>
      </c>
      <c r="G6">
        <v>26298</v>
      </c>
    </row>
    <row r="7" spans="1:7">
      <c r="A7" s="7">
        <v>45453</v>
      </c>
      <c r="B7" t="s">
        <v>31</v>
      </c>
      <c r="C7">
        <v>545</v>
      </c>
      <c r="D7">
        <v>93</v>
      </c>
      <c r="E7">
        <v>391621</v>
      </c>
      <c r="F7">
        <v>9.9600000000000009</v>
      </c>
      <c r="G7">
        <v>22029</v>
      </c>
    </row>
    <row r="8" spans="1:7">
      <c r="A8" s="7">
        <v>45460</v>
      </c>
      <c r="B8" t="s">
        <v>14</v>
      </c>
      <c r="C8">
        <v>881</v>
      </c>
      <c r="D8">
        <v>291</v>
      </c>
      <c r="E8">
        <v>95885</v>
      </c>
      <c r="F8">
        <v>5.29</v>
      </c>
      <c r="G8">
        <v>12391</v>
      </c>
    </row>
    <row r="9" spans="1:7">
      <c r="A9" s="7">
        <v>45460</v>
      </c>
      <c r="B9" t="s">
        <v>24</v>
      </c>
      <c r="C9">
        <v>1414</v>
      </c>
      <c r="D9">
        <v>131</v>
      </c>
      <c r="E9">
        <v>245947</v>
      </c>
      <c r="F9">
        <v>8.3000000000000007</v>
      </c>
      <c r="G9">
        <v>14477</v>
      </c>
    </row>
    <row r="10" spans="1:7">
      <c r="A10" s="7">
        <v>45460</v>
      </c>
      <c r="B10" t="s">
        <v>31</v>
      </c>
      <c r="C10">
        <v>1472</v>
      </c>
      <c r="D10">
        <v>170</v>
      </c>
      <c r="E10">
        <v>250428</v>
      </c>
      <c r="F10">
        <v>4.66</v>
      </c>
      <c r="G10">
        <v>25040</v>
      </c>
    </row>
    <row r="11" spans="1:7">
      <c r="A11" s="7">
        <v>45467</v>
      </c>
      <c r="B11" t="s">
        <v>14</v>
      </c>
      <c r="C11">
        <v>809</v>
      </c>
      <c r="D11">
        <v>197</v>
      </c>
      <c r="E11">
        <v>87186</v>
      </c>
      <c r="F11">
        <v>9.48</v>
      </c>
      <c r="G11">
        <v>22619</v>
      </c>
    </row>
    <row r="12" spans="1:7">
      <c r="A12" s="7">
        <v>45467</v>
      </c>
      <c r="B12" t="s">
        <v>24</v>
      </c>
      <c r="C12">
        <v>1371</v>
      </c>
      <c r="D12">
        <v>250</v>
      </c>
      <c r="E12">
        <v>128620</v>
      </c>
      <c r="F12">
        <v>7.11</v>
      </c>
      <c r="G12">
        <v>12399</v>
      </c>
    </row>
    <row r="13" spans="1:7">
      <c r="A13" s="7">
        <v>45467</v>
      </c>
      <c r="B13" t="s">
        <v>31</v>
      </c>
      <c r="C13">
        <v>844</v>
      </c>
      <c r="D13">
        <v>144</v>
      </c>
      <c r="E13">
        <v>126015</v>
      </c>
      <c r="F13">
        <v>9.65</v>
      </c>
      <c r="G13">
        <v>22456</v>
      </c>
    </row>
    <row r="14" spans="1:7">
      <c r="A14" s="7">
        <v>45474</v>
      </c>
      <c r="B14" t="s">
        <v>14</v>
      </c>
      <c r="C14">
        <v>786</v>
      </c>
      <c r="D14">
        <v>72</v>
      </c>
      <c r="E14">
        <v>178615</v>
      </c>
      <c r="F14">
        <v>5.43</v>
      </c>
      <c r="G14">
        <v>19328</v>
      </c>
    </row>
    <row r="15" spans="1:7">
      <c r="A15" s="7">
        <v>45474</v>
      </c>
      <c r="B15" t="s">
        <v>24</v>
      </c>
      <c r="C15">
        <v>845</v>
      </c>
      <c r="D15">
        <v>250</v>
      </c>
      <c r="E15">
        <v>218228</v>
      </c>
      <c r="F15">
        <v>4.5199999999999996</v>
      </c>
      <c r="G15">
        <v>21107</v>
      </c>
    </row>
    <row r="16" spans="1:7">
      <c r="A16" s="7">
        <v>45474</v>
      </c>
      <c r="B16" t="s">
        <v>31</v>
      </c>
      <c r="C16">
        <v>1218</v>
      </c>
      <c r="D16">
        <v>101</v>
      </c>
      <c r="E16">
        <v>300397</v>
      </c>
      <c r="F16">
        <v>4.33</v>
      </c>
      <c r="G16">
        <v>12277</v>
      </c>
    </row>
    <row r="17" spans="1:7">
      <c r="A17" s="7">
        <v>45481</v>
      </c>
      <c r="B17" t="s">
        <v>14</v>
      </c>
      <c r="C17">
        <v>797</v>
      </c>
      <c r="D17">
        <v>130</v>
      </c>
      <c r="E17">
        <v>340121</v>
      </c>
      <c r="F17">
        <v>8.52</v>
      </c>
      <c r="G17">
        <v>11684</v>
      </c>
    </row>
    <row r="18" spans="1:7">
      <c r="A18" s="7">
        <v>45481</v>
      </c>
      <c r="B18" t="s">
        <v>24</v>
      </c>
      <c r="C18">
        <v>1471</v>
      </c>
      <c r="D18">
        <v>100</v>
      </c>
      <c r="E18">
        <v>76866</v>
      </c>
      <c r="F18">
        <v>8.5500000000000007</v>
      </c>
      <c r="G18">
        <v>14412</v>
      </c>
    </row>
    <row r="19" spans="1:7">
      <c r="A19" s="7">
        <v>45481</v>
      </c>
      <c r="B19" t="s">
        <v>31</v>
      </c>
      <c r="C19">
        <v>1253</v>
      </c>
      <c r="D19">
        <v>136</v>
      </c>
      <c r="E19">
        <v>193131</v>
      </c>
      <c r="F19">
        <v>7.99</v>
      </c>
      <c r="G19">
        <v>15924</v>
      </c>
    </row>
    <row r="20" spans="1:7">
      <c r="A20" s="7">
        <v>45488</v>
      </c>
      <c r="B20" t="s">
        <v>14</v>
      </c>
      <c r="C20">
        <v>616</v>
      </c>
      <c r="D20">
        <v>257</v>
      </c>
      <c r="E20">
        <v>169665</v>
      </c>
      <c r="F20">
        <v>6.31</v>
      </c>
      <c r="G20">
        <v>12390</v>
      </c>
    </row>
    <row r="21" spans="1:7">
      <c r="A21" s="7">
        <v>45488</v>
      </c>
      <c r="B21" t="s">
        <v>24</v>
      </c>
      <c r="C21">
        <v>1308</v>
      </c>
      <c r="D21">
        <v>210</v>
      </c>
      <c r="E21">
        <v>263729</v>
      </c>
      <c r="F21">
        <v>8.5299999999999994</v>
      </c>
      <c r="G21">
        <v>25742</v>
      </c>
    </row>
    <row r="22" spans="1:7">
      <c r="A22" s="7">
        <v>45488</v>
      </c>
      <c r="B22" t="s">
        <v>31</v>
      </c>
      <c r="C22">
        <v>981</v>
      </c>
      <c r="D22">
        <v>69</v>
      </c>
      <c r="E22">
        <v>206921</v>
      </c>
      <c r="F22">
        <v>8.42</v>
      </c>
      <c r="G22">
        <v>10495</v>
      </c>
    </row>
    <row r="23" spans="1:7">
      <c r="A23" s="7">
        <v>45495</v>
      </c>
      <c r="B23" t="s">
        <v>14</v>
      </c>
      <c r="C23">
        <v>866</v>
      </c>
      <c r="D23">
        <v>74</v>
      </c>
      <c r="E23">
        <v>204121</v>
      </c>
      <c r="F23">
        <v>9.34</v>
      </c>
      <c r="G23">
        <v>7797</v>
      </c>
    </row>
    <row r="24" spans="1:7">
      <c r="A24" s="7">
        <v>45495</v>
      </c>
      <c r="B24" t="s">
        <v>24</v>
      </c>
      <c r="C24">
        <v>547</v>
      </c>
      <c r="D24">
        <v>183</v>
      </c>
      <c r="E24">
        <v>266350</v>
      </c>
      <c r="F24">
        <v>5.65</v>
      </c>
      <c r="G24">
        <v>15595</v>
      </c>
    </row>
    <row r="25" spans="1:7">
      <c r="A25" s="7">
        <v>45495</v>
      </c>
      <c r="B25" t="s">
        <v>31</v>
      </c>
      <c r="C25">
        <v>1241</v>
      </c>
      <c r="D25">
        <v>116</v>
      </c>
      <c r="E25">
        <v>380606</v>
      </c>
      <c r="F25">
        <v>4.2</v>
      </c>
      <c r="G25">
        <v>24617</v>
      </c>
    </row>
    <row r="26" spans="1:7">
      <c r="A26" s="7">
        <v>45502</v>
      </c>
      <c r="B26" t="s">
        <v>14</v>
      </c>
      <c r="C26">
        <v>973</v>
      </c>
      <c r="D26">
        <v>104</v>
      </c>
      <c r="E26">
        <v>376358</v>
      </c>
      <c r="F26">
        <v>3.87</v>
      </c>
      <c r="G26">
        <v>9847</v>
      </c>
    </row>
    <row r="27" spans="1:7">
      <c r="A27" s="7">
        <v>45502</v>
      </c>
      <c r="B27" t="s">
        <v>24</v>
      </c>
      <c r="C27">
        <v>611</v>
      </c>
      <c r="D27">
        <v>197</v>
      </c>
      <c r="E27">
        <v>79423</v>
      </c>
      <c r="F27">
        <v>5.82</v>
      </c>
      <c r="G27">
        <v>13644</v>
      </c>
    </row>
    <row r="28" spans="1:7">
      <c r="A28" s="7">
        <v>45502</v>
      </c>
      <c r="B28" t="s">
        <v>31</v>
      </c>
      <c r="C28">
        <v>983</v>
      </c>
      <c r="D28">
        <v>134</v>
      </c>
      <c r="E28">
        <v>352178</v>
      </c>
      <c r="F28">
        <v>3.55</v>
      </c>
      <c r="G28">
        <v>11421</v>
      </c>
    </row>
    <row r="29" spans="1:7">
      <c r="A29" s="7">
        <v>45509</v>
      </c>
      <c r="B29" t="s">
        <v>14</v>
      </c>
      <c r="C29">
        <v>1449</v>
      </c>
      <c r="D29">
        <v>96</v>
      </c>
      <c r="E29">
        <v>200636</v>
      </c>
      <c r="F29">
        <v>9.92</v>
      </c>
      <c r="G29">
        <v>15613</v>
      </c>
    </row>
    <row r="30" spans="1:7">
      <c r="A30" s="7">
        <v>45509</v>
      </c>
      <c r="B30" t="s">
        <v>24</v>
      </c>
      <c r="C30">
        <v>752</v>
      </c>
      <c r="D30">
        <v>170</v>
      </c>
      <c r="E30">
        <v>132756</v>
      </c>
      <c r="F30">
        <v>8.17</v>
      </c>
      <c r="G30">
        <v>23900</v>
      </c>
    </row>
    <row r="31" spans="1:7">
      <c r="A31" s="7">
        <v>45509</v>
      </c>
      <c r="B31" t="s">
        <v>31</v>
      </c>
      <c r="C31">
        <v>937</v>
      </c>
      <c r="D31">
        <v>179</v>
      </c>
      <c r="E31">
        <v>318098</v>
      </c>
      <c r="F31">
        <v>5.3</v>
      </c>
      <c r="G31">
        <v>5836</v>
      </c>
    </row>
    <row r="32" spans="1:7">
      <c r="A32" s="7">
        <v>45516</v>
      </c>
      <c r="B32" t="s">
        <v>14</v>
      </c>
      <c r="C32">
        <v>1060</v>
      </c>
      <c r="D32">
        <v>83</v>
      </c>
      <c r="E32">
        <v>68724</v>
      </c>
      <c r="F32">
        <v>5.98</v>
      </c>
      <c r="G32">
        <v>5624</v>
      </c>
    </row>
    <row r="33" spans="1:7">
      <c r="A33" s="7">
        <v>45516</v>
      </c>
      <c r="B33" t="s">
        <v>24</v>
      </c>
      <c r="C33">
        <v>1456</v>
      </c>
      <c r="D33">
        <v>265</v>
      </c>
      <c r="E33">
        <v>115505</v>
      </c>
      <c r="F33">
        <v>7.49</v>
      </c>
      <c r="G33">
        <v>10311</v>
      </c>
    </row>
    <row r="34" spans="1:7">
      <c r="A34" s="7">
        <v>45516</v>
      </c>
      <c r="B34" t="s">
        <v>31</v>
      </c>
      <c r="C34">
        <v>1109</v>
      </c>
      <c r="D34">
        <v>205</v>
      </c>
      <c r="E34">
        <v>276722</v>
      </c>
      <c r="F34">
        <v>9.3800000000000008</v>
      </c>
      <c r="G34">
        <v>8274</v>
      </c>
    </row>
    <row r="35" spans="1:7">
      <c r="A35" s="7">
        <v>45523</v>
      </c>
      <c r="B35" t="s">
        <v>14</v>
      </c>
      <c r="C35">
        <v>1002</v>
      </c>
      <c r="D35">
        <v>93</v>
      </c>
      <c r="E35">
        <v>353538</v>
      </c>
      <c r="F35">
        <v>5.84</v>
      </c>
      <c r="G35">
        <v>6031</v>
      </c>
    </row>
    <row r="36" spans="1:7">
      <c r="A36" s="7">
        <v>45523</v>
      </c>
      <c r="B36" t="s">
        <v>24</v>
      </c>
      <c r="C36">
        <v>571</v>
      </c>
      <c r="D36">
        <v>189</v>
      </c>
      <c r="E36">
        <v>61445</v>
      </c>
      <c r="F36">
        <v>5.41</v>
      </c>
      <c r="G36">
        <v>27829</v>
      </c>
    </row>
    <row r="37" spans="1:7">
      <c r="A37" s="7">
        <v>45523</v>
      </c>
      <c r="B37" t="s">
        <v>31</v>
      </c>
      <c r="C37">
        <v>1240</v>
      </c>
      <c r="D37">
        <v>231</v>
      </c>
      <c r="E37">
        <v>165035</v>
      </c>
      <c r="F37">
        <v>6.05</v>
      </c>
      <c r="G37">
        <v>18267</v>
      </c>
    </row>
    <row r="38" spans="1:7">
      <c r="A38" s="7">
        <v>45530</v>
      </c>
      <c r="B38" t="s">
        <v>14</v>
      </c>
      <c r="C38">
        <v>1154</v>
      </c>
      <c r="D38">
        <v>132</v>
      </c>
      <c r="E38">
        <v>194595</v>
      </c>
      <c r="F38">
        <v>7.54</v>
      </c>
      <c r="G38">
        <v>26624</v>
      </c>
    </row>
    <row r="39" spans="1:7">
      <c r="A39" s="7">
        <v>45530</v>
      </c>
      <c r="B39" t="s">
        <v>24</v>
      </c>
      <c r="C39">
        <v>537</v>
      </c>
      <c r="D39">
        <v>275</v>
      </c>
      <c r="E39">
        <v>236238</v>
      </c>
      <c r="F39">
        <v>5.87</v>
      </c>
      <c r="G39">
        <v>26644</v>
      </c>
    </row>
    <row r="40" spans="1:7">
      <c r="A40" s="7">
        <v>45530</v>
      </c>
      <c r="B40" t="s">
        <v>31</v>
      </c>
      <c r="C40">
        <v>1456</v>
      </c>
      <c r="D40">
        <v>290</v>
      </c>
      <c r="E40">
        <v>271044</v>
      </c>
      <c r="F40">
        <v>7.17</v>
      </c>
      <c r="G40">
        <v>13051</v>
      </c>
    </row>
    <row r="41" spans="1:7">
      <c r="A41" s="7">
        <v>45537</v>
      </c>
      <c r="B41" t="s">
        <v>14</v>
      </c>
      <c r="C41">
        <v>721</v>
      </c>
      <c r="D41">
        <v>206</v>
      </c>
      <c r="E41">
        <v>334887</v>
      </c>
      <c r="F41">
        <v>6.05</v>
      </c>
      <c r="G41">
        <v>14217</v>
      </c>
    </row>
    <row r="42" spans="1:7">
      <c r="A42" s="7">
        <v>45537</v>
      </c>
      <c r="B42" t="s">
        <v>24</v>
      </c>
      <c r="C42">
        <v>1098</v>
      </c>
      <c r="D42">
        <v>142</v>
      </c>
      <c r="E42">
        <v>359150</v>
      </c>
      <c r="F42">
        <v>7.51</v>
      </c>
      <c r="G42">
        <v>16385</v>
      </c>
    </row>
    <row r="43" spans="1:7">
      <c r="A43" s="7">
        <v>45537</v>
      </c>
      <c r="B43" t="s">
        <v>31</v>
      </c>
      <c r="C43">
        <v>1096</v>
      </c>
      <c r="D43">
        <v>65</v>
      </c>
      <c r="E43">
        <v>358295</v>
      </c>
      <c r="F43">
        <v>7.66</v>
      </c>
      <c r="G43">
        <v>24548</v>
      </c>
    </row>
    <row r="44" spans="1:7">
      <c r="A44" s="7">
        <v>45544</v>
      </c>
      <c r="B44" t="s">
        <v>14</v>
      </c>
      <c r="C44">
        <v>912</v>
      </c>
      <c r="D44">
        <v>275</v>
      </c>
      <c r="E44">
        <v>368454</v>
      </c>
      <c r="F44">
        <v>6.03</v>
      </c>
      <c r="G44">
        <v>9195</v>
      </c>
    </row>
    <row r="45" spans="1:7">
      <c r="A45" s="7">
        <v>45544</v>
      </c>
      <c r="B45" t="s">
        <v>24</v>
      </c>
      <c r="C45">
        <v>1430</v>
      </c>
      <c r="D45">
        <v>162</v>
      </c>
      <c r="E45">
        <v>269082</v>
      </c>
      <c r="F45">
        <v>3.4</v>
      </c>
      <c r="G45">
        <v>18071</v>
      </c>
    </row>
    <row r="46" spans="1:7">
      <c r="A46" s="7">
        <v>45544</v>
      </c>
      <c r="B46" t="s">
        <v>31</v>
      </c>
      <c r="C46">
        <v>854</v>
      </c>
      <c r="D46">
        <v>129</v>
      </c>
      <c r="E46">
        <v>310903</v>
      </c>
      <c r="F46">
        <v>7.83</v>
      </c>
      <c r="G46">
        <v>16875</v>
      </c>
    </row>
    <row r="47" spans="1:7">
      <c r="A47" s="7">
        <v>45551</v>
      </c>
      <c r="B47" t="s">
        <v>14</v>
      </c>
      <c r="C47">
        <v>681</v>
      </c>
      <c r="D47">
        <v>210</v>
      </c>
      <c r="E47">
        <v>248581</v>
      </c>
      <c r="F47">
        <v>8.76</v>
      </c>
      <c r="G47">
        <v>9567</v>
      </c>
    </row>
    <row r="48" spans="1:7">
      <c r="A48" s="7">
        <v>45551</v>
      </c>
      <c r="B48" t="s">
        <v>24</v>
      </c>
      <c r="C48">
        <v>1373</v>
      </c>
      <c r="D48">
        <v>82</v>
      </c>
      <c r="E48">
        <v>371015</v>
      </c>
      <c r="F48">
        <v>9.52</v>
      </c>
      <c r="G48">
        <v>20306</v>
      </c>
    </row>
    <row r="49" spans="1:7">
      <c r="A49" s="7">
        <v>45551</v>
      </c>
      <c r="B49" t="s">
        <v>31</v>
      </c>
      <c r="C49">
        <v>685</v>
      </c>
      <c r="D49">
        <v>285</v>
      </c>
      <c r="E49">
        <v>177452</v>
      </c>
      <c r="F49">
        <v>3.36</v>
      </c>
      <c r="G49">
        <v>21134</v>
      </c>
    </row>
    <row r="50" spans="1:7">
      <c r="A50" s="7">
        <v>45558</v>
      </c>
      <c r="B50" t="s">
        <v>14</v>
      </c>
      <c r="C50">
        <v>1290</v>
      </c>
      <c r="D50">
        <v>177</v>
      </c>
      <c r="E50">
        <v>80745</v>
      </c>
      <c r="F50">
        <v>9.2200000000000006</v>
      </c>
      <c r="G50">
        <v>26872</v>
      </c>
    </row>
    <row r="51" spans="1:7">
      <c r="A51" s="7">
        <v>45558</v>
      </c>
      <c r="B51" t="s">
        <v>24</v>
      </c>
      <c r="C51">
        <v>1437</v>
      </c>
      <c r="D51">
        <v>239</v>
      </c>
      <c r="E51">
        <v>362441</v>
      </c>
      <c r="F51">
        <v>5.57</v>
      </c>
      <c r="G51">
        <v>10253</v>
      </c>
    </row>
    <row r="52" spans="1:7">
      <c r="A52" s="7">
        <v>45558</v>
      </c>
      <c r="B52" t="s">
        <v>31</v>
      </c>
      <c r="C52">
        <v>769</v>
      </c>
      <c r="D52">
        <v>295</v>
      </c>
      <c r="E52">
        <v>344771</v>
      </c>
      <c r="F52">
        <v>8.06</v>
      </c>
      <c r="G52">
        <v>23963</v>
      </c>
    </row>
    <row r="53" spans="1:7">
      <c r="A53" s="7">
        <v>45565</v>
      </c>
      <c r="B53" t="s">
        <v>14</v>
      </c>
      <c r="C53">
        <v>1416</v>
      </c>
      <c r="D53">
        <v>284</v>
      </c>
      <c r="E53">
        <v>374952</v>
      </c>
      <c r="F53">
        <v>3.45</v>
      </c>
      <c r="G53">
        <v>11335</v>
      </c>
    </row>
    <row r="54" spans="1:7">
      <c r="A54" s="7">
        <v>45565</v>
      </c>
      <c r="B54" t="s">
        <v>24</v>
      </c>
      <c r="C54">
        <v>998</v>
      </c>
      <c r="D54">
        <v>154</v>
      </c>
      <c r="E54">
        <v>179781</v>
      </c>
      <c r="F54">
        <v>9.58</v>
      </c>
      <c r="G54">
        <v>12115</v>
      </c>
    </row>
    <row r="55" spans="1:7">
      <c r="A55" s="7">
        <v>45565</v>
      </c>
      <c r="B55" t="s">
        <v>31</v>
      </c>
      <c r="C55">
        <v>1421</v>
      </c>
      <c r="D55">
        <v>246</v>
      </c>
      <c r="E55">
        <v>358581</v>
      </c>
      <c r="F55">
        <v>8.8800000000000008</v>
      </c>
      <c r="G55">
        <v>24358</v>
      </c>
    </row>
    <row r="56" spans="1:7">
      <c r="A56" s="7">
        <v>45572</v>
      </c>
      <c r="B56" t="s">
        <v>14</v>
      </c>
      <c r="C56">
        <v>764</v>
      </c>
      <c r="D56">
        <v>205</v>
      </c>
      <c r="E56">
        <v>319294</v>
      </c>
      <c r="F56">
        <v>6.23</v>
      </c>
      <c r="G56">
        <v>12181</v>
      </c>
    </row>
    <row r="57" spans="1:7">
      <c r="A57" s="7">
        <v>45572</v>
      </c>
      <c r="B57" t="s">
        <v>24</v>
      </c>
      <c r="C57">
        <v>678</v>
      </c>
      <c r="D57">
        <v>124</v>
      </c>
      <c r="E57">
        <v>192022</v>
      </c>
      <c r="F57">
        <v>8.4499999999999993</v>
      </c>
      <c r="G57">
        <v>17729</v>
      </c>
    </row>
    <row r="58" spans="1:7">
      <c r="A58" s="7">
        <v>45572</v>
      </c>
      <c r="B58" t="s">
        <v>31</v>
      </c>
      <c r="C58">
        <v>1328</v>
      </c>
      <c r="D58">
        <v>103</v>
      </c>
      <c r="E58">
        <v>151462</v>
      </c>
      <c r="F58">
        <v>8.4</v>
      </c>
      <c r="G58">
        <v>10881</v>
      </c>
    </row>
    <row r="59" spans="1:7">
      <c r="A59" s="7">
        <v>45579</v>
      </c>
      <c r="B59" t="s">
        <v>14</v>
      </c>
      <c r="C59">
        <v>1161</v>
      </c>
      <c r="D59">
        <v>269</v>
      </c>
      <c r="E59">
        <v>188193</v>
      </c>
      <c r="F59">
        <v>7.34</v>
      </c>
      <c r="G59">
        <v>18576</v>
      </c>
    </row>
    <row r="60" spans="1:7">
      <c r="A60" s="7">
        <v>45579</v>
      </c>
      <c r="B60" t="s">
        <v>24</v>
      </c>
      <c r="C60">
        <v>588</v>
      </c>
      <c r="D60">
        <v>52</v>
      </c>
      <c r="E60">
        <v>292040</v>
      </c>
      <c r="F60">
        <v>8.14</v>
      </c>
      <c r="G60">
        <v>9383</v>
      </c>
    </row>
    <row r="61" spans="1:7">
      <c r="A61" s="7">
        <v>45579</v>
      </c>
      <c r="B61" t="s">
        <v>31</v>
      </c>
      <c r="C61">
        <v>1457</v>
      </c>
      <c r="D61">
        <v>215</v>
      </c>
      <c r="E61">
        <v>325325</v>
      </c>
      <c r="F61">
        <v>9.58</v>
      </c>
      <c r="G61">
        <v>14178</v>
      </c>
    </row>
    <row r="62" spans="1:7">
      <c r="A62" s="7">
        <v>45586</v>
      </c>
      <c r="B62" t="s">
        <v>14</v>
      </c>
      <c r="C62">
        <v>1190</v>
      </c>
      <c r="D62">
        <v>242</v>
      </c>
      <c r="E62">
        <v>86849</v>
      </c>
      <c r="F62">
        <v>8.06</v>
      </c>
      <c r="G62">
        <v>21254</v>
      </c>
    </row>
    <row r="63" spans="1:7">
      <c r="A63" s="7">
        <v>45586</v>
      </c>
      <c r="B63" t="s">
        <v>24</v>
      </c>
      <c r="C63">
        <v>886</v>
      </c>
      <c r="D63">
        <v>124</v>
      </c>
      <c r="E63">
        <v>141161</v>
      </c>
      <c r="F63">
        <v>8.19</v>
      </c>
      <c r="G63">
        <v>14215</v>
      </c>
    </row>
    <row r="64" spans="1:7">
      <c r="A64" s="7">
        <v>45586</v>
      </c>
      <c r="B64" t="s">
        <v>31</v>
      </c>
      <c r="C64">
        <v>1237</v>
      </c>
      <c r="D64">
        <v>155</v>
      </c>
      <c r="E64">
        <v>149916</v>
      </c>
      <c r="F64">
        <v>4.4800000000000004</v>
      </c>
      <c r="G64">
        <v>16921</v>
      </c>
    </row>
    <row r="65" spans="1:7">
      <c r="A65" s="7">
        <v>45593</v>
      </c>
      <c r="B65" t="s">
        <v>14</v>
      </c>
      <c r="C65">
        <v>1435</v>
      </c>
      <c r="D65">
        <v>261</v>
      </c>
      <c r="E65">
        <v>308533</v>
      </c>
      <c r="F65">
        <v>4.5199999999999996</v>
      </c>
      <c r="G65">
        <v>25130</v>
      </c>
    </row>
    <row r="66" spans="1:7">
      <c r="A66" s="7">
        <v>45593</v>
      </c>
      <c r="B66" t="s">
        <v>24</v>
      </c>
      <c r="C66">
        <v>746</v>
      </c>
      <c r="D66">
        <v>282</v>
      </c>
      <c r="E66">
        <v>293894</v>
      </c>
      <c r="F66">
        <v>5.42</v>
      </c>
      <c r="G66">
        <v>25537</v>
      </c>
    </row>
    <row r="67" spans="1:7">
      <c r="A67" s="7">
        <v>45593</v>
      </c>
      <c r="B67" t="s">
        <v>31</v>
      </c>
      <c r="C67">
        <v>759</v>
      </c>
      <c r="D67">
        <v>216</v>
      </c>
      <c r="E67">
        <v>147656</v>
      </c>
      <c r="F67">
        <v>4.08</v>
      </c>
      <c r="G67">
        <v>24943</v>
      </c>
    </row>
    <row r="68" spans="1:7">
      <c r="A68" s="7">
        <v>45600</v>
      </c>
      <c r="B68" t="s">
        <v>14</v>
      </c>
      <c r="C68">
        <v>1437</v>
      </c>
      <c r="D68">
        <v>235</v>
      </c>
      <c r="E68">
        <v>326791</v>
      </c>
      <c r="F68">
        <v>4.0599999999999996</v>
      </c>
      <c r="G68">
        <v>14563</v>
      </c>
    </row>
    <row r="69" spans="1:7">
      <c r="A69" s="7">
        <v>45600</v>
      </c>
      <c r="B69" t="s">
        <v>24</v>
      </c>
      <c r="C69">
        <v>1463</v>
      </c>
      <c r="D69">
        <v>73</v>
      </c>
      <c r="E69">
        <v>348877</v>
      </c>
      <c r="F69">
        <v>9.91</v>
      </c>
      <c r="G69">
        <v>26273</v>
      </c>
    </row>
    <row r="70" spans="1:7">
      <c r="A70" s="7">
        <v>45600</v>
      </c>
      <c r="B70" t="s">
        <v>31</v>
      </c>
      <c r="C70">
        <v>1208</v>
      </c>
      <c r="D70">
        <v>224</v>
      </c>
      <c r="E70">
        <v>122730</v>
      </c>
      <c r="F70">
        <v>8.7200000000000006</v>
      </c>
      <c r="G70">
        <v>10858</v>
      </c>
    </row>
    <row r="71" spans="1:7">
      <c r="A71" s="7">
        <v>45607</v>
      </c>
      <c r="B71" t="s">
        <v>14</v>
      </c>
      <c r="C71">
        <v>1391</v>
      </c>
      <c r="D71">
        <v>187</v>
      </c>
      <c r="E71">
        <v>306508</v>
      </c>
      <c r="F71">
        <v>8.3800000000000008</v>
      </c>
      <c r="G71">
        <v>25038</v>
      </c>
    </row>
    <row r="72" spans="1:7">
      <c r="A72" s="7">
        <v>45607</v>
      </c>
      <c r="B72" t="s">
        <v>24</v>
      </c>
      <c r="C72">
        <v>655</v>
      </c>
      <c r="D72">
        <v>123</v>
      </c>
      <c r="E72">
        <v>202472</v>
      </c>
      <c r="F72">
        <v>7.56</v>
      </c>
      <c r="G72">
        <v>9092</v>
      </c>
    </row>
    <row r="73" spans="1:7">
      <c r="A73" s="7">
        <v>45607</v>
      </c>
      <c r="B73" t="s">
        <v>31</v>
      </c>
      <c r="C73">
        <v>1148</v>
      </c>
      <c r="D73">
        <v>90</v>
      </c>
      <c r="E73">
        <v>227249</v>
      </c>
      <c r="F73">
        <v>7.24</v>
      </c>
      <c r="G73">
        <v>17662</v>
      </c>
    </row>
    <row r="74" spans="1:7">
      <c r="A74" s="7">
        <v>45614</v>
      </c>
      <c r="B74" t="s">
        <v>14</v>
      </c>
      <c r="C74">
        <v>946</v>
      </c>
      <c r="D74">
        <v>270</v>
      </c>
      <c r="E74">
        <v>246567</v>
      </c>
      <c r="F74">
        <v>4.53</v>
      </c>
      <c r="G74">
        <v>5924</v>
      </c>
    </row>
    <row r="75" spans="1:7">
      <c r="A75" s="7">
        <v>45614</v>
      </c>
      <c r="B75" t="s">
        <v>24</v>
      </c>
      <c r="C75">
        <v>791</v>
      </c>
      <c r="D75">
        <v>214</v>
      </c>
      <c r="E75">
        <v>114738</v>
      </c>
      <c r="F75">
        <v>6.62</v>
      </c>
      <c r="G75">
        <v>25347</v>
      </c>
    </row>
    <row r="76" spans="1:7">
      <c r="A76" s="7">
        <v>45614</v>
      </c>
      <c r="B76" t="s">
        <v>31</v>
      </c>
      <c r="C76">
        <v>793</v>
      </c>
      <c r="D76">
        <v>111</v>
      </c>
      <c r="E76">
        <v>333500</v>
      </c>
      <c r="F76">
        <v>6.36</v>
      </c>
      <c r="G76">
        <v>8910</v>
      </c>
    </row>
    <row r="77" spans="1:7">
      <c r="A77" s="7">
        <v>45621</v>
      </c>
      <c r="B77" t="s">
        <v>14</v>
      </c>
      <c r="C77">
        <v>663</v>
      </c>
      <c r="D77">
        <v>213</v>
      </c>
      <c r="E77">
        <v>352677</v>
      </c>
      <c r="F77">
        <v>9</v>
      </c>
      <c r="G77">
        <v>20438</v>
      </c>
    </row>
    <row r="78" spans="1:7">
      <c r="A78" s="7">
        <v>45621</v>
      </c>
      <c r="B78" t="s">
        <v>24</v>
      </c>
      <c r="C78">
        <v>954</v>
      </c>
      <c r="D78">
        <v>271</v>
      </c>
      <c r="E78">
        <v>160936</v>
      </c>
      <c r="F78">
        <v>8.83</v>
      </c>
      <c r="G78">
        <v>8760</v>
      </c>
    </row>
    <row r="79" spans="1:7">
      <c r="A79" s="7">
        <v>45621</v>
      </c>
      <c r="B79" t="s">
        <v>31</v>
      </c>
      <c r="C79">
        <v>1313</v>
      </c>
      <c r="D79">
        <v>159</v>
      </c>
      <c r="E79">
        <v>197183</v>
      </c>
      <c r="F79">
        <v>9.7100000000000009</v>
      </c>
      <c r="G79">
        <v>6625</v>
      </c>
    </row>
    <row r="80" spans="1:7">
      <c r="A80" s="7">
        <v>45628</v>
      </c>
      <c r="B80" t="s">
        <v>14</v>
      </c>
      <c r="C80">
        <v>895</v>
      </c>
      <c r="D80">
        <v>87</v>
      </c>
      <c r="E80">
        <v>171271</v>
      </c>
      <c r="F80">
        <v>6.68</v>
      </c>
      <c r="G80">
        <v>23329</v>
      </c>
    </row>
    <row r="81" spans="1:7">
      <c r="A81" s="7">
        <v>45628</v>
      </c>
      <c r="B81" t="s">
        <v>24</v>
      </c>
      <c r="C81">
        <v>1027</v>
      </c>
      <c r="D81">
        <v>156</v>
      </c>
      <c r="E81">
        <v>111293</v>
      </c>
      <c r="F81">
        <v>5.51</v>
      </c>
      <c r="G81">
        <v>7299</v>
      </c>
    </row>
    <row r="82" spans="1:7">
      <c r="A82" s="7">
        <v>45628</v>
      </c>
      <c r="B82" t="s">
        <v>31</v>
      </c>
      <c r="C82">
        <v>990</v>
      </c>
      <c r="D82">
        <v>286</v>
      </c>
      <c r="E82">
        <v>351493</v>
      </c>
      <c r="F82">
        <v>7.97</v>
      </c>
      <c r="G82">
        <v>14496</v>
      </c>
    </row>
    <row r="83" spans="1:7">
      <c r="A83" s="7">
        <v>45635</v>
      </c>
      <c r="B83" t="s">
        <v>14</v>
      </c>
      <c r="C83">
        <v>875</v>
      </c>
      <c r="D83">
        <v>264</v>
      </c>
      <c r="E83">
        <v>345631</v>
      </c>
      <c r="F83">
        <v>9.18</v>
      </c>
      <c r="G83">
        <v>25703</v>
      </c>
    </row>
    <row r="84" spans="1:7">
      <c r="A84" s="7">
        <v>45635</v>
      </c>
      <c r="B84" t="s">
        <v>24</v>
      </c>
      <c r="C84">
        <v>599</v>
      </c>
      <c r="D84">
        <v>194</v>
      </c>
      <c r="E84">
        <v>105622</v>
      </c>
      <c r="F84">
        <v>6.44</v>
      </c>
      <c r="G84">
        <v>15108</v>
      </c>
    </row>
    <row r="85" spans="1:7">
      <c r="A85" s="7">
        <v>45635</v>
      </c>
      <c r="B85" t="s">
        <v>31</v>
      </c>
      <c r="C85">
        <v>630</v>
      </c>
      <c r="D85">
        <v>248</v>
      </c>
      <c r="E85">
        <v>119054</v>
      </c>
      <c r="F85">
        <v>5.0199999999999996</v>
      </c>
      <c r="G85">
        <v>18867</v>
      </c>
    </row>
    <row r="86" spans="1:7">
      <c r="A86" s="7">
        <v>45642</v>
      </c>
      <c r="B86" t="s">
        <v>14</v>
      </c>
      <c r="C86">
        <v>1350</v>
      </c>
      <c r="D86">
        <v>233</v>
      </c>
      <c r="E86">
        <v>171670</v>
      </c>
      <c r="F86">
        <v>4.53</v>
      </c>
      <c r="G86">
        <v>17574</v>
      </c>
    </row>
    <row r="87" spans="1:7">
      <c r="A87" s="7">
        <v>45642</v>
      </c>
      <c r="B87" t="s">
        <v>24</v>
      </c>
      <c r="C87">
        <v>632</v>
      </c>
      <c r="D87">
        <v>155</v>
      </c>
      <c r="E87">
        <v>170432</v>
      </c>
      <c r="F87">
        <v>9.17</v>
      </c>
      <c r="G87">
        <v>12840</v>
      </c>
    </row>
    <row r="88" spans="1:7">
      <c r="A88" s="7">
        <v>45642</v>
      </c>
      <c r="B88" t="s">
        <v>31</v>
      </c>
      <c r="C88">
        <v>1182</v>
      </c>
      <c r="D88">
        <v>83</v>
      </c>
      <c r="E88">
        <v>140300</v>
      </c>
      <c r="F88">
        <v>3.27</v>
      </c>
      <c r="G88">
        <v>21079</v>
      </c>
    </row>
    <row r="89" spans="1:7">
      <c r="A89" s="7">
        <v>45649</v>
      </c>
      <c r="B89" t="s">
        <v>14</v>
      </c>
      <c r="C89">
        <v>661</v>
      </c>
      <c r="D89">
        <v>94</v>
      </c>
      <c r="E89">
        <v>116538</v>
      </c>
      <c r="F89">
        <v>5.31</v>
      </c>
      <c r="G89">
        <v>23486</v>
      </c>
    </row>
    <row r="90" spans="1:7">
      <c r="A90" s="7">
        <v>45649</v>
      </c>
      <c r="B90" t="s">
        <v>24</v>
      </c>
      <c r="C90">
        <v>1360</v>
      </c>
      <c r="D90">
        <v>227</v>
      </c>
      <c r="E90">
        <v>176902</v>
      </c>
      <c r="F90">
        <v>6.03</v>
      </c>
      <c r="G90">
        <v>5960</v>
      </c>
    </row>
    <row r="91" spans="1:7">
      <c r="A91" s="7">
        <v>45649</v>
      </c>
      <c r="B91" t="s">
        <v>31</v>
      </c>
      <c r="C91">
        <v>935</v>
      </c>
      <c r="D91">
        <v>85</v>
      </c>
      <c r="E91">
        <v>326821</v>
      </c>
      <c r="F91">
        <v>8.89</v>
      </c>
      <c r="G91">
        <v>13301</v>
      </c>
    </row>
    <row r="92" spans="1:7">
      <c r="A92" s="7">
        <v>45656</v>
      </c>
      <c r="B92" t="s">
        <v>14</v>
      </c>
      <c r="C92">
        <v>664</v>
      </c>
      <c r="D92">
        <v>251</v>
      </c>
      <c r="E92">
        <v>240598</v>
      </c>
      <c r="F92">
        <v>4.79</v>
      </c>
      <c r="G92">
        <v>10563</v>
      </c>
    </row>
    <row r="93" spans="1:7">
      <c r="A93" s="7">
        <v>45656</v>
      </c>
      <c r="B93" t="s">
        <v>24</v>
      </c>
      <c r="C93">
        <v>1490</v>
      </c>
      <c r="D93">
        <v>103</v>
      </c>
      <c r="E93">
        <v>373274</v>
      </c>
      <c r="F93">
        <v>4.8</v>
      </c>
      <c r="G93">
        <v>19949</v>
      </c>
    </row>
    <row r="94" spans="1:7">
      <c r="A94" s="7">
        <v>45656</v>
      </c>
      <c r="B94" t="s">
        <v>31</v>
      </c>
      <c r="C94">
        <v>601</v>
      </c>
      <c r="D94">
        <v>64</v>
      </c>
      <c r="E94">
        <v>123272</v>
      </c>
      <c r="F94">
        <v>4.07</v>
      </c>
      <c r="G94">
        <v>14273</v>
      </c>
    </row>
    <row r="95" spans="1:7">
      <c r="A95" s="7">
        <v>45663</v>
      </c>
      <c r="B95" t="s">
        <v>14</v>
      </c>
      <c r="C95">
        <v>613</v>
      </c>
      <c r="D95">
        <v>170</v>
      </c>
      <c r="E95">
        <v>139266</v>
      </c>
      <c r="F95">
        <v>6.06</v>
      </c>
      <c r="G95">
        <v>9247</v>
      </c>
    </row>
    <row r="96" spans="1:7">
      <c r="A96" s="7">
        <v>45663</v>
      </c>
      <c r="B96" t="s">
        <v>24</v>
      </c>
      <c r="C96">
        <v>1340</v>
      </c>
      <c r="D96">
        <v>57</v>
      </c>
      <c r="E96">
        <v>155927</v>
      </c>
      <c r="F96">
        <v>7.79</v>
      </c>
      <c r="G96">
        <v>11972</v>
      </c>
    </row>
    <row r="97" spans="1:7">
      <c r="A97" s="7">
        <v>45663</v>
      </c>
      <c r="B97" t="s">
        <v>31</v>
      </c>
      <c r="C97">
        <v>953</v>
      </c>
      <c r="D97">
        <v>228</v>
      </c>
      <c r="E97">
        <v>258398</v>
      </c>
      <c r="F97">
        <v>9.0500000000000007</v>
      </c>
      <c r="G97">
        <v>13314</v>
      </c>
    </row>
    <row r="98" spans="1:7">
      <c r="A98" s="7">
        <v>45670</v>
      </c>
      <c r="B98" t="s">
        <v>14</v>
      </c>
      <c r="C98">
        <v>532</v>
      </c>
      <c r="D98">
        <v>65</v>
      </c>
      <c r="E98">
        <v>338561</v>
      </c>
      <c r="F98">
        <v>3.5</v>
      </c>
      <c r="G98">
        <v>14749</v>
      </c>
    </row>
    <row r="99" spans="1:7">
      <c r="A99" s="7">
        <v>45670</v>
      </c>
      <c r="B99" t="s">
        <v>24</v>
      </c>
      <c r="C99">
        <v>1414</v>
      </c>
      <c r="D99">
        <v>60</v>
      </c>
      <c r="E99">
        <v>341856</v>
      </c>
      <c r="F99">
        <v>8.76</v>
      </c>
      <c r="G99">
        <v>6868</v>
      </c>
    </row>
    <row r="100" spans="1:7">
      <c r="A100" s="7">
        <v>45670</v>
      </c>
      <c r="B100" t="s">
        <v>31</v>
      </c>
      <c r="C100">
        <v>685</v>
      </c>
      <c r="D100">
        <v>165</v>
      </c>
      <c r="E100">
        <v>175860</v>
      </c>
      <c r="F100">
        <v>6.26</v>
      </c>
      <c r="G100">
        <v>6027</v>
      </c>
    </row>
    <row r="101" spans="1:7">
      <c r="A101" s="7">
        <v>45677</v>
      </c>
      <c r="B101" t="s">
        <v>14</v>
      </c>
      <c r="C101">
        <v>601</v>
      </c>
      <c r="D101">
        <v>159</v>
      </c>
      <c r="E101">
        <v>327722</v>
      </c>
      <c r="F101">
        <v>3.33</v>
      </c>
      <c r="G101">
        <v>25267</v>
      </c>
    </row>
    <row r="102" spans="1:7">
      <c r="A102" s="7">
        <v>45677</v>
      </c>
      <c r="B102" t="s">
        <v>24</v>
      </c>
      <c r="C102">
        <v>841</v>
      </c>
      <c r="D102">
        <v>295</v>
      </c>
      <c r="E102">
        <v>271638</v>
      </c>
      <c r="F102">
        <v>9.15</v>
      </c>
      <c r="G102">
        <v>5900</v>
      </c>
    </row>
    <row r="103" spans="1:7">
      <c r="A103" s="7">
        <v>45677</v>
      </c>
      <c r="B103" t="s">
        <v>31</v>
      </c>
      <c r="C103">
        <v>1105</v>
      </c>
      <c r="D103">
        <v>261</v>
      </c>
      <c r="E103">
        <v>333851</v>
      </c>
      <c r="F103">
        <v>6.03</v>
      </c>
      <c r="G103">
        <v>11181</v>
      </c>
    </row>
    <row r="104" spans="1:7">
      <c r="A104" s="7">
        <v>45684</v>
      </c>
      <c r="B104" t="s">
        <v>14</v>
      </c>
      <c r="C104">
        <v>566</v>
      </c>
      <c r="D104">
        <v>225</v>
      </c>
      <c r="E104">
        <v>368984</v>
      </c>
      <c r="F104">
        <v>9.82</v>
      </c>
      <c r="G104">
        <v>9592</v>
      </c>
    </row>
    <row r="105" spans="1:7">
      <c r="A105" s="7">
        <v>45684</v>
      </c>
      <c r="B105" t="s">
        <v>24</v>
      </c>
      <c r="C105">
        <v>1149</v>
      </c>
      <c r="D105">
        <v>280</v>
      </c>
      <c r="E105">
        <v>167310</v>
      </c>
      <c r="F105">
        <v>3.7</v>
      </c>
      <c r="G105">
        <v>5291</v>
      </c>
    </row>
    <row r="106" spans="1:7">
      <c r="A106" s="7">
        <v>45684</v>
      </c>
      <c r="B106" t="s">
        <v>31</v>
      </c>
      <c r="C106">
        <v>819</v>
      </c>
      <c r="D106">
        <v>101</v>
      </c>
      <c r="E106">
        <v>194811</v>
      </c>
      <c r="F106">
        <v>3.35</v>
      </c>
      <c r="G106">
        <v>22244</v>
      </c>
    </row>
    <row r="107" spans="1:7">
      <c r="A107" s="7">
        <v>45691</v>
      </c>
      <c r="B107" t="s">
        <v>14</v>
      </c>
      <c r="C107">
        <v>795</v>
      </c>
      <c r="D107">
        <v>60</v>
      </c>
      <c r="E107">
        <v>314982</v>
      </c>
      <c r="F107">
        <v>7.31</v>
      </c>
      <c r="G107">
        <v>6824</v>
      </c>
    </row>
    <row r="108" spans="1:7">
      <c r="A108" s="7">
        <v>45691</v>
      </c>
      <c r="B108" t="s">
        <v>24</v>
      </c>
      <c r="C108">
        <v>681</v>
      </c>
      <c r="D108">
        <v>158</v>
      </c>
      <c r="E108">
        <v>75960</v>
      </c>
      <c r="F108">
        <v>3.13</v>
      </c>
      <c r="G108">
        <v>24112</v>
      </c>
    </row>
    <row r="109" spans="1:7">
      <c r="A109" s="7">
        <v>45691</v>
      </c>
      <c r="B109" t="s">
        <v>31</v>
      </c>
      <c r="C109">
        <v>534</v>
      </c>
      <c r="D109">
        <v>112</v>
      </c>
      <c r="E109">
        <v>360759</v>
      </c>
      <c r="F109">
        <v>4.8899999999999997</v>
      </c>
      <c r="G109">
        <v>25478</v>
      </c>
    </row>
    <row r="110" spans="1:7">
      <c r="A110" s="7">
        <v>45698</v>
      </c>
      <c r="B110" t="s">
        <v>14</v>
      </c>
      <c r="C110">
        <v>1066</v>
      </c>
      <c r="D110">
        <v>151</v>
      </c>
      <c r="E110">
        <v>297090</v>
      </c>
      <c r="F110">
        <v>8.6300000000000008</v>
      </c>
      <c r="G110">
        <v>11235</v>
      </c>
    </row>
    <row r="111" spans="1:7">
      <c r="A111" s="7">
        <v>45698</v>
      </c>
      <c r="B111" t="s">
        <v>24</v>
      </c>
      <c r="C111">
        <v>1270</v>
      </c>
      <c r="D111">
        <v>162</v>
      </c>
      <c r="E111">
        <v>92040</v>
      </c>
      <c r="F111">
        <v>8.0299999999999994</v>
      </c>
      <c r="G111">
        <v>6120</v>
      </c>
    </row>
    <row r="112" spans="1:7">
      <c r="A112" s="7">
        <v>45698</v>
      </c>
      <c r="B112" t="s">
        <v>31</v>
      </c>
      <c r="C112">
        <v>536</v>
      </c>
      <c r="D112">
        <v>198</v>
      </c>
      <c r="E112">
        <v>174610</v>
      </c>
      <c r="F112">
        <v>7.85</v>
      </c>
      <c r="G112">
        <v>20572</v>
      </c>
    </row>
    <row r="113" spans="1:7">
      <c r="A113" s="7">
        <v>45705</v>
      </c>
      <c r="B113" t="s">
        <v>14</v>
      </c>
      <c r="C113">
        <v>819</v>
      </c>
      <c r="D113">
        <v>95</v>
      </c>
      <c r="E113">
        <v>177376</v>
      </c>
      <c r="F113">
        <v>6.12</v>
      </c>
      <c r="G113">
        <v>14975</v>
      </c>
    </row>
    <row r="114" spans="1:7">
      <c r="A114" s="7">
        <v>45705</v>
      </c>
      <c r="B114" t="s">
        <v>24</v>
      </c>
      <c r="C114">
        <v>681</v>
      </c>
      <c r="D114">
        <v>218</v>
      </c>
      <c r="E114">
        <v>198882</v>
      </c>
      <c r="F114">
        <v>7.16</v>
      </c>
      <c r="G114">
        <v>22234</v>
      </c>
    </row>
    <row r="115" spans="1:7">
      <c r="A115" s="7">
        <v>45705</v>
      </c>
      <c r="B115" t="s">
        <v>31</v>
      </c>
      <c r="C115">
        <v>646</v>
      </c>
      <c r="D115">
        <v>290</v>
      </c>
      <c r="E115">
        <v>336383</v>
      </c>
      <c r="F115">
        <v>7.04</v>
      </c>
      <c r="G115">
        <v>6532</v>
      </c>
    </row>
    <row r="116" spans="1:7">
      <c r="A116" s="7">
        <v>45712</v>
      </c>
      <c r="B116" t="s">
        <v>14</v>
      </c>
      <c r="C116">
        <v>645</v>
      </c>
      <c r="D116">
        <v>267</v>
      </c>
      <c r="E116">
        <v>346890</v>
      </c>
      <c r="F116">
        <v>3.71</v>
      </c>
      <c r="G116">
        <v>24858</v>
      </c>
    </row>
    <row r="117" spans="1:7">
      <c r="A117" s="7">
        <v>45712</v>
      </c>
      <c r="B117" t="s">
        <v>24</v>
      </c>
      <c r="C117">
        <v>886</v>
      </c>
      <c r="D117">
        <v>250</v>
      </c>
      <c r="E117">
        <v>168170</v>
      </c>
      <c r="F117">
        <v>4.12</v>
      </c>
      <c r="G117">
        <v>13883</v>
      </c>
    </row>
    <row r="118" spans="1:7">
      <c r="A118" s="7">
        <v>45712</v>
      </c>
      <c r="B118" t="s">
        <v>31</v>
      </c>
      <c r="C118">
        <v>978</v>
      </c>
      <c r="D118">
        <v>279</v>
      </c>
      <c r="E118">
        <v>368872</v>
      </c>
      <c r="F118">
        <v>6.82</v>
      </c>
      <c r="G118">
        <v>18654</v>
      </c>
    </row>
    <row r="119" spans="1:7">
      <c r="A119" s="7">
        <v>45719</v>
      </c>
      <c r="B119" t="s">
        <v>14</v>
      </c>
      <c r="C119">
        <v>1444</v>
      </c>
      <c r="D119">
        <v>165</v>
      </c>
      <c r="E119">
        <v>116436</v>
      </c>
      <c r="F119">
        <v>8.2200000000000006</v>
      </c>
      <c r="G119">
        <v>25234</v>
      </c>
    </row>
    <row r="120" spans="1:7">
      <c r="A120" s="7">
        <v>45719</v>
      </c>
      <c r="B120" t="s">
        <v>24</v>
      </c>
      <c r="C120">
        <v>1234</v>
      </c>
      <c r="D120">
        <v>228</v>
      </c>
      <c r="E120">
        <v>127502</v>
      </c>
      <c r="F120">
        <v>7.71</v>
      </c>
      <c r="G120">
        <v>6772</v>
      </c>
    </row>
    <row r="121" spans="1:7">
      <c r="A121" s="7">
        <v>45719</v>
      </c>
      <c r="B121" t="s">
        <v>31</v>
      </c>
      <c r="C121">
        <v>665</v>
      </c>
      <c r="D121">
        <v>187</v>
      </c>
      <c r="E121">
        <v>274567</v>
      </c>
      <c r="F121">
        <v>7.39</v>
      </c>
      <c r="G121">
        <v>22428</v>
      </c>
    </row>
    <row r="122" spans="1:7">
      <c r="A122" s="7">
        <v>45726</v>
      </c>
      <c r="B122" t="s">
        <v>14</v>
      </c>
      <c r="C122">
        <v>631</v>
      </c>
      <c r="D122">
        <v>86</v>
      </c>
      <c r="E122">
        <v>295090</v>
      </c>
      <c r="F122">
        <v>7.89</v>
      </c>
      <c r="G122">
        <v>11911</v>
      </c>
    </row>
    <row r="123" spans="1:7">
      <c r="A123" s="7">
        <v>45726</v>
      </c>
      <c r="B123" t="s">
        <v>24</v>
      </c>
      <c r="C123">
        <v>1159</v>
      </c>
      <c r="D123">
        <v>154</v>
      </c>
      <c r="E123">
        <v>194994</v>
      </c>
      <c r="F123">
        <v>6.39</v>
      </c>
      <c r="G123">
        <v>21900</v>
      </c>
    </row>
    <row r="124" spans="1:7">
      <c r="A124" s="7">
        <v>45726</v>
      </c>
      <c r="B124" t="s">
        <v>31</v>
      </c>
      <c r="C124">
        <v>950</v>
      </c>
      <c r="D124">
        <v>185</v>
      </c>
      <c r="E124">
        <v>340750</v>
      </c>
      <c r="F124">
        <v>6.77</v>
      </c>
      <c r="G124">
        <v>25542</v>
      </c>
    </row>
    <row r="125" spans="1:7">
      <c r="A125" s="7">
        <v>45733</v>
      </c>
      <c r="B125" t="s">
        <v>14</v>
      </c>
      <c r="C125">
        <v>693</v>
      </c>
      <c r="D125">
        <v>129</v>
      </c>
      <c r="E125">
        <v>296031</v>
      </c>
      <c r="F125">
        <v>3.41</v>
      </c>
      <c r="G125">
        <v>7140</v>
      </c>
    </row>
    <row r="126" spans="1:7">
      <c r="A126" s="7">
        <v>45733</v>
      </c>
      <c r="B126" t="s">
        <v>24</v>
      </c>
      <c r="C126">
        <v>576</v>
      </c>
      <c r="D126">
        <v>80</v>
      </c>
      <c r="E126">
        <v>345688</v>
      </c>
      <c r="F126">
        <v>4.1100000000000003</v>
      </c>
      <c r="G126">
        <v>20474</v>
      </c>
    </row>
    <row r="127" spans="1:7">
      <c r="A127" s="7">
        <v>45733</v>
      </c>
      <c r="B127" t="s">
        <v>31</v>
      </c>
      <c r="C127">
        <v>1274</v>
      </c>
      <c r="D127">
        <v>146</v>
      </c>
      <c r="E127">
        <v>263488</v>
      </c>
      <c r="F127">
        <v>9.58</v>
      </c>
      <c r="G127">
        <v>8698</v>
      </c>
    </row>
    <row r="128" spans="1:7">
      <c r="A128" s="7">
        <v>45740</v>
      </c>
      <c r="B128" t="s">
        <v>14</v>
      </c>
      <c r="C128">
        <v>818</v>
      </c>
      <c r="D128">
        <v>253</v>
      </c>
      <c r="E128">
        <v>184911</v>
      </c>
      <c r="F128">
        <v>3.39</v>
      </c>
      <c r="G128">
        <v>10402</v>
      </c>
    </row>
    <row r="129" spans="1:7">
      <c r="A129" s="7">
        <v>45740</v>
      </c>
      <c r="B129" t="s">
        <v>24</v>
      </c>
      <c r="C129">
        <v>975</v>
      </c>
      <c r="D129">
        <v>162</v>
      </c>
      <c r="E129">
        <v>124497</v>
      </c>
      <c r="F129">
        <v>9.58</v>
      </c>
      <c r="G129">
        <v>26618</v>
      </c>
    </row>
    <row r="130" spans="1:7">
      <c r="A130" s="7">
        <v>45740</v>
      </c>
      <c r="B130" t="s">
        <v>31</v>
      </c>
      <c r="C130">
        <v>1398</v>
      </c>
      <c r="D130">
        <v>97</v>
      </c>
      <c r="E130">
        <v>397607</v>
      </c>
      <c r="F130">
        <v>5.09</v>
      </c>
      <c r="G130">
        <v>7975</v>
      </c>
    </row>
    <row r="131" spans="1:7">
      <c r="A131" s="7">
        <v>45747</v>
      </c>
      <c r="B131" t="s">
        <v>14</v>
      </c>
      <c r="C131">
        <v>591</v>
      </c>
      <c r="D131">
        <v>155</v>
      </c>
      <c r="E131">
        <v>138521</v>
      </c>
      <c r="F131">
        <v>7.85</v>
      </c>
      <c r="G131">
        <v>19054</v>
      </c>
    </row>
    <row r="132" spans="1:7">
      <c r="A132" s="7">
        <v>45747</v>
      </c>
      <c r="B132" t="s">
        <v>24</v>
      </c>
      <c r="C132">
        <v>1232</v>
      </c>
      <c r="D132">
        <v>254</v>
      </c>
      <c r="E132">
        <v>107718</v>
      </c>
      <c r="F132">
        <v>9.7100000000000009</v>
      </c>
      <c r="G132">
        <v>13740</v>
      </c>
    </row>
    <row r="133" spans="1:7">
      <c r="A133" s="7">
        <v>45747</v>
      </c>
      <c r="B133" t="s">
        <v>31</v>
      </c>
      <c r="C133">
        <v>1425</v>
      </c>
      <c r="D133">
        <v>58</v>
      </c>
      <c r="E133">
        <v>202234</v>
      </c>
      <c r="F133">
        <v>6.67</v>
      </c>
      <c r="G133">
        <v>18442</v>
      </c>
    </row>
    <row r="134" spans="1:7">
      <c r="A134" s="7">
        <v>45754</v>
      </c>
      <c r="B134" t="s">
        <v>14</v>
      </c>
      <c r="C134">
        <v>1417</v>
      </c>
      <c r="D134">
        <v>80</v>
      </c>
      <c r="E134">
        <v>340987</v>
      </c>
      <c r="F134">
        <v>6.13</v>
      </c>
      <c r="G134">
        <v>10104</v>
      </c>
    </row>
    <row r="135" spans="1:7">
      <c r="A135" s="7">
        <v>45754</v>
      </c>
      <c r="B135" t="s">
        <v>24</v>
      </c>
      <c r="C135">
        <v>1222</v>
      </c>
      <c r="D135">
        <v>208</v>
      </c>
      <c r="E135">
        <v>340098</v>
      </c>
      <c r="F135">
        <v>7.34</v>
      </c>
      <c r="G135">
        <v>21771</v>
      </c>
    </row>
    <row r="136" spans="1:7">
      <c r="A136" s="7">
        <v>45754</v>
      </c>
      <c r="B136" t="s">
        <v>31</v>
      </c>
      <c r="C136">
        <v>1071</v>
      </c>
      <c r="D136">
        <v>131</v>
      </c>
      <c r="E136">
        <v>254727</v>
      </c>
      <c r="F136">
        <v>6.87</v>
      </c>
      <c r="G136">
        <v>22191</v>
      </c>
    </row>
    <row r="137" spans="1:7">
      <c r="A137" s="7">
        <v>45761</v>
      </c>
      <c r="B137" t="s">
        <v>14</v>
      </c>
      <c r="C137">
        <v>772</v>
      </c>
      <c r="D137">
        <v>82</v>
      </c>
      <c r="E137">
        <v>345659</v>
      </c>
      <c r="F137">
        <v>3.52</v>
      </c>
      <c r="G137">
        <v>27753</v>
      </c>
    </row>
    <row r="138" spans="1:7">
      <c r="A138" s="7">
        <v>45761</v>
      </c>
      <c r="B138" t="s">
        <v>24</v>
      </c>
      <c r="C138">
        <v>1472</v>
      </c>
      <c r="D138">
        <v>137</v>
      </c>
      <c r="E138">
        <v>213950</v>
      </c>
      <c r="F138">
        <v>6.96</v>
      </c>
      <c r="G138">
        <v>23736</v>
      </c>
    </row>
    <row r="139" spans="1:7">
      <c r="A139" s="7">
        <v>45761</v>
      </c>
      <c r="B139" t="s">
        <v>31</v>
      </c>
      <c r="C139">
        <v>1472</v>
      </c>
      <c r="D139">
        <v>281</v>
      </c>
      <c r="E139">
        <v>258115</v>
      </c>
      <c r="F139">
        <v>7.23</v>
      </c>
      <c r="G139">
        <v>27393</v>
      </c>
    </row>
    <row r="140" spans="1:7">
      <c r="A140" s="7">
        <v>45768</v>
      </c>
      <c r="B140" t="s">
        <v>14</v>
      </c>
      <c r="C140">
        <v>585</v>
      </c>
      <c r="D140">
        <v>232</v>
      </c>
      <c r="E140">
        <v>321258</v>
      </c>
      <c r="F140">
        <v>7.42</v>
      </c>
      <c r="G140">
        <v>10343</v>
      </c>
    </row>
    <row r="141" spans="1:7">
      <c r="A141" s="7">
        <v>45768</v>
      </c>
      <c r="B141" t="s">
        <v>24</v>
      </c>
      <c r="C141">
        <v>747</v>
      </c>
      <c r="D141">
        <v>261</v>
      </c>
      <c r="E141">
        <v>338650</v>
      </c>
      <c r="F141">
        <v>7.73</v>
      </c>
      <c r="G141">
        <v>25259</v>
      </c>
    </row>
    <row r="142" spans="1:7">
      <c r="A142" s="7">
        <v>45768</v>
      </c>
      <c r="B142" t="s">
        <v>31</v>
      </c>
      <c r="C142">
        <v>1113</v>
      </c>
      <c r="D142">
        <v>224</v>
      </c>
      <c r="E142">
        <v>272989</v>
      </c>
      <c r="F142">
        <v>5.13</v>
      </c>
      <c r="G142">
        <v>24827</v>
      </c>
    </row>
    <row r="143" spans="1:7">
      <c r="A143" s="7">
        <v>45775</v>
      </c>
      <c r="B143" t="s">
        <v>14</v>
      </c>
      <c r="C143">
        <v>1100</v>
      </c>
      <c r="D143">
        <v>117</v>
      </c>
      <c r="E143">
        <v>260204</v>
      </c>
      <c r="F143">
        <v>4.4000000000000004</v>
      </c>
      <c r="G143">
        <v>11908</v>
      </c>
    </row>
    <row r="144" spans="1:7">
      <c r="A144" s="7">
        <v>45775</v>
      </c>
      <c r="B144" t="s">
        <v>24</v>
      </c>
      <c r="C144">
        <v>751</v>
      </c>
      <c r="D144">
        <v>170</v>
      </c>
      <c r="E144">
        <v>283278</v>
      </c>
      <c r="F144">
        <v>3.49</v>
      </c>
      <c r="G144">
        <v>11005</v>
      </c>
    </row>
    <row r="145" spans="1:7">
      <c r="A145" s="7">
        <v>45775</v>
      </c>
      <c r="B145" t="s">
        <v>31</v>
      </c>
      <c r="C145">
        <v>864</v>
      </c>
      <c r="D145">
        <v>50</v>
      </c>
      <c r="E145">
        <v>277445</v>
      </c>
      <c r="F145">
        <v>3.57</v>
      </c>
      <c r="G145">
        <v>26333</v>
      </c>
    </row>
    <row r="146" spans="1:7">
      <c r="A146" s="7">
        <v>45782</v>
      </c>
      <c r="B146" t="s">
        <v>14</v>
      </c>
      <c r="C146">
        <v>1146</v>
      </c>
      <c r="D146">
        <v>227</v>
      </c>
      <c r="E146">
        <v>353781</v>
      </c>
      <c r="F146">
        <v>6.41</v>
      </c>
      <c r="G146">
        <v>5495</v>
      </c>
    </row>
    <row r="147" spans="1:7">
      <c r="A147" s="7">
        <v>45782</v>
      </c>
      <c r="B147" t="s">
        <v>24</v>
      </c>
      <c r="C147">
        <v>883</v>
      </c>
      <c r="D147">
        <v>207</v>
      </c>
      <c r="E147">
        <v>265019</v>
      </c>
      <c r="F147">
        <v>6.04</v>
      </c>
      <c r="G147">
        <v>15655</v>
      </c>
    </row>
    <row r="148" spans="1:7">
      <c r="A148" s="7">
        <v>45782</v>
      </c>
      <c r="B148" t="s">
        <v>31</v>
      </c>
      <c r="C148">
        <v>622</v>
      </c>
      <c r="D148">
        <v>163</v>
      </c>
      <c r="E148">
        <v>231925</v>
      </c>
      <c r="F148">
        <v>9.18</v>
      </c>
      <c r="G148">
        <v>13763</v>
      </c>
    </row>
    <row r="149" spans="1:7">
      <c r="A149" s="7">
        <v>45789</v>
      </c>
      <c r="B149" t="s">
        <v>14</v>
      </c>
      <c r="C149">
        <v>837</v>
      </c>
      <c r="D149">
        <v>261</v>
      </c>
      <c r="E149">
        <v>366149</v>
      </c>
      <c r="F149">
        <v>6.54</v>
      </c>
      <c r="G149">
        <v>26073</v>
      </c>
    </row>
    <row r="150" spans="1:7">
      <c r="A150" s="7">
        <v>45789</v>
      </c>
      <c r="B150" t="s">
        <v>24</v>
      </c>
      <c r="C150">
        <v>544</v>
      </c>
      <c r="D150">
        <v>97</v>
      </c>
      <c r="E150">
        <v>168375</v>
      </c>
      <c r="F150">
        <v>8.66</v>
      </c>
      <c r="G150">
        <v>12774</v>
      </c>
    </row>
    <row r="151" spans="1:7">
      <c r="A151" s="7">
        <v>45789</v>
      </c>
      <c r="B151" t="s">
        <v>31</v>
      </c>
      <c r="C151">
        <v>624</v>
      </c>
      <c r="D151">
        <v>247</v>
      </c>
      <c r="E151">
        <v>252763</v>
      </c>
      <c r="F151">
        <v>3.89</v>
      </c>
      <c r="G151">
        <v>19000</v>
      </c>
    </row>
    <row r="152" spans="1:7">
      <c r="A152" s="7">
        <v>45796</v>
      </c>
      <c r="B152" t="s">
        <v>14</v>
      </c>
      <c r="C152">
        <v>1073</v>
      </c>
      <c r="D152">
        <v>141</v>
      </c>
      <c r="E152">
        <v>118393</v>
      </c>
      <c r="F152">
        <v>7.95</v>
      </c>
      <c r="G152">
        <v>14051</v>
      </c>
    </row>
    <row r="153" spans="1:7">
      <c r="A153" s="7">
        <v>45796</v>
      </c>
      <c r="B153" t="s">
        <v>24</v>
      </c>
      <c r="C153">
        <v>1430</v>
      </c>
      <c r="D153">
        <v>74</v>
      </c>
      <c r="E153">
        <v>327012</v>
      </c>
      <c r="F153">
        <v>6.66</v>
      </c>
      <c r="G153">
        <v>27782</v>
      </c>
    </row>
    <row r="154" spans="1:7">
      <c r="A154" s="7">
        <v>45796</v>
      </c>
      <c r="B154" t="s">
        <v>31</v>
      </c>
      <c r="C154">
        <v>1358</v>
      </c>
      <c r="D154">
        <v>77</v>
      </c>
      <c r="E154">
        <v>169688</v>
      </c>
      <c r="F154">
        <v>5.25</v>
      </c>
      <c r="G154">
        <v>7859</v>
      </c>
    </row>
    <row r="155" spans="1:7">
      <c r="A155" s="7">
        <v>45803</v>
      </c>
      <c r="B155" t="s">
        <v>14</v>
      </c>
      <c r="C155">
        <v>1242</v>
      </c>
      <c r="D155">
        <v>201</v>
      </c>
      <c r="E155">
        <v>271935</v>
      </c>
      <c r="F155">
        <v>5.07</v>
      </c>
      <c r="G155">
        <v>15773</v>
      </c>
    </row>
    <row r="156" spans="1:7">
      <c r="A156" s="7">
        <v>45803</v>
      </c>
      <c r="B156" t="s">
        <v>24</v>
      </c>
      <c r="C156">
        <v>1389</v>
      </c>
      <c r="D156">
        <v>205</v>
      </c>
      <c r="E156">
        <v>315981</v>
      </c>
      <c r="F156">
        <v>7.62</v>
      </c>
      <c r="G156">
        <v>20595</v>
      </c>
    </row>
    <row r="157" spans="1:7">
      <c r="A157" s="7">
        <v>45803</v>
      </c>
      <c r="B157" t="s">
        <v>31</v>
      </c>
      <c r="C157">
        <v>826</v>
      </c>
      <c r="D157">
        <v>142</v>
      </c>
      <c r="E157">
        <v>341016</v>
      </c>
      <c r="F157">
        <v>7.44</v>
      </c>
      <c r="G157">
        <v>12031</v>
      </c>
    </row>
    <row r="158" spans="1:7">
      <c r="A158" s="7">
        <v>45810</v>
      </c>
      <c r="B158" t="s">
        <v>14</v>
      </c>
      <c r="C158">
        <v>618</v>
      </c>
      <c r="D158">
        <v>264</v>
      </c>
      <c r="E158">
        <v>285164</v>
      </c>
      <c r="F158">
        <v>4.8600000000000003</v>
      </c>
      <c r="G158">
        <v>15128</v>
      </c>
    </row>
    <row r="159" spans="1:7">
      <c r="A159" s="7">
        <v>45810</v>
      </c>
      <c r="B159" t="s">
        <v>24</v>
      </c>
      <c r="C159">
        <v>1419</v>
      </c>
      <c r="D159">
        <v>293</v>
      </c>
      <c r="E159">
        <v>116632</v>
      </c>
      <c r="F159">
        <v>6.93</v>
      </c>
      <c r="G159">
        <v>11826</v>
      </c>
    </row>
    <row r="160" spans="1:7">
      <c r="A160" s="7">
        <v>45810</v>
      </c>
      <c r="B160" t="s">
        <v>31</v>
      </c>
      <c r="C160">
        <v>637</v>
      </c>
      <c r="D160">
        <v>68</v>
      </c>
      <c r="E160">
        <v>115694</v>
      </c>
      <c r="F160">
        <v>9.99</v>
      </c>
      <c r="G160">
        <v>12562</v>
      </c>
    </row>
    <row r="161" spans="1:7">
      <c r="A161" s="7">
        <v>45817</v>
      </c>
      <c r="B161" t="s">
        <v>14</v>
      </c>
      <c r="C161">
        <v>917</v>
      </c>
      <c r="D161">
        <v>187</v>
      </c>
      <c r="E161">
        <v>64444</v>
      </c>
      <c r="F161">
        <v>5.22</v>
      </c>
      <c r="G161">
        <v>13013</v>
      </c>
    </row>
    <row r="162" spans="1:7">
      <c r="A162" s="7">
        <v>45817</v>
      </c>
      <c r="B162" t="s">
        <v>24</v>
      </c>
      <c r="C162">
        <v>810</v>
      </c>
      <c r="D162">
        <v>232</v>
      </c>
      <c r="E162">
        <v>362559</v>
      </c>
      <c r="F162">
        <v>5.17</v>
      </c>
      <c r="G162">
        <v>12937</v>
      </c>
    </row>
    <row r="163" spans="1:7">
      <c r="A163" s="7">
        <v>45817</v>
      </c>
      <c r="B163" t="s">
        <v>31</v>
      </c>
      <c r="C163">
        <v>1183</v>
      </c>
      <c r="D163">
        <v>248</v>
      </c>
      <c r="E163">
        <v>226881</v>
      </c>
      <c r="F163">
        <v>5.17</v>
      </c>
      <c r="G163">
        <v>14534</v>
      </c>
    </row>
    <row r="164" spans="1:7">
      <c r="A164" s="7">
        <v>45824</v>
      </c>
      <c r="B164" t="s">
        <v>14</v>
      </c>
      <c r="C164">
        <v>765</v>
      </c>
      <c r="D164">
        <v>67</v>
      </c>
      <c r="E164">
        <v>283537</v>
      </c>
      <c r="F164">
        <v>6.18</v>
      </c>
      <c r="G164">
        <v>8182</v>
      </c>
    </row>
    <row r="165" spans="1:7">
      <c r="A165" s="7">
        <v>45824</v>
      </c>
      <c r="B165" t="s">
        <v>24</v>
      </c>
      <c r="C165">
        <v>540</v>
      </c>
      <c r="D165">
        <v>215</v>
      </c>
      <c r="E165">
        <v>62837</v>
      </c>
      <c r="F165">
        <v>5.3</v>
      </c>
      <c r="G165">
        <v>10615</v>
      </c>
    </row>
    <row r="166" spans="1:7">
      <c r="A166" s="7">
        <v>45824</v>
      </c>
      <c r="B166" t="s">
        <v>31</v>
      </c>
      <c r="C166">
        <v>1145</v>
      </c>
      <c r="D166">
        <v>151</v>
      </c>
      <c r="E166">
        <v>182759</v>
      </c>
      <c r="F166">
        <v>5.99</v>
      </c>
      <c r="G166">
        <v>20109</v>
      </c>
    </row>
    <row r="167" spans="1:7">
      <c r="A167" s="7">
        <v>45831</v>
      </c>
      <c r="B167" t="s">
        <v>14</v>
      </c>
      <c r="C167">
        <v>564</v>
      </c>
      <c r="D167">
        <v>244</v>
      </c>
      <c r="E167">
        <v>279405</v>
      </c>
      <c r="F167">
        <v>8.43</v>
      </c>
      <c r="G167">
        <v>26024</v>
      </c>
    </row>
    <row r="168" spans="1:7">
      <c r="A168" s="7">
        <v>45831</v>
      </c>
      <c r="B168" t="s">
        <v>24</v>
      </c>
      <c r="C168">
        <v>668</v>
      </c>
      <c r="D168">
        <v>124</v>
      </c>
      <c r="E168">
        <v>257485</v>
      </c>
      <c r="F168">
        <v>7.55</v>
      </c>
      <c r="G168">
        <v>26730</v>
      </c>
    </row>
    <row r="169" spans="1:7">
      <c r="A169" s="7">
        <v>45831</v>
      </c>
      <c r="B169" t="s">
        <v>31</v>
      </c>
      <c r="C169">
        <v>761</v>
      </c>
      <c r="D169">
        <v>241</v>
      </c>
      <c r="E169">
        <v>154977</v>
      </c>
      <c r="F169">
        <v>5.63</v>
      </c>
      <c r="G169">
        <v>10563</v>
      </c>
    </row>
    <row r="170" spans="1:7">
      <c r="A170" s="7">
        <v>45838</v>
      </c>
      <c r="B170" t="s">
        <v>14</v>
      </c>
      <c r="C170">
        <v>593</v>
      </c>
      <c r="D170">
        <v>108</v>
      </c>
      <c r="E170">
        <v>216500</v>
      </c>
      <c r="F170">
        <v>4.71</v>
      </c>
      <c r="G170">
        <v>27575</v>
      </c>
    </row>
    <row r="171" spans="1:7">
      <c r="A171" s="7">
        <v>45838</v>
      </c>
      <c r="B171" t="s">
        <v>24</v>
      </c>
      <c r="C171">
        <v>1349</v>
      </c>
      <c r="D171">
        <v>115</v>
      </c>
      <c r="E171">
        <v>102102</v>
      </c>
      <c r="F171">
        <v>5.28</v>
      </c>
      <c r="G171">
        <v>14479</v>
      </c>
    </row>
    <row r="172" spans="1:7">
      <c r="A172" s="7">
        <v>45838</v>
      </c>
      <c r="B172" t="s">
        <v>31</v>
      </c>
      <c r="C172">
        <v>693</v>
      </c>
      <c r="D172">
        <v>97</v>
      </c>
      <c r="E172">
        <v>92025</v>
      </c>
      <c r="F172">
        <v>5.95</v>
      </c>
      <c r="G172">
        <v>15915</v>
      </c>
    </row>
    <row r="173" spans="1:7">
      <c r="A173" s="7">
        <v>45845</v>
      </c>
      <c r="B173" t="s">
        <v>14</v>
      </c>
      <c r="C173">
        <v>974</v>
      </c>
      <c r="D173">
        <v>143</v>
      </c>
      <c r="E173">
        <v>247965</v>
      </c>
      <c r="F173">
        <v>9.98</v>
      </c>
      <c r="G173">
        <v>12767</v>
      </c>
    </row>
    <row r="174" spans="1:7">
      <c r="A174" s="7">
        <v>45845</v>
      </c>
      <c r="B174" t="s">
        <v>24</v>
      </c>
      <c r="C174">
        <v>1155</v>
      </c>
      <c r="D174">
        <v>122</v>
      </c>
      <c r="E174">
        <v>387352</v>
      </c>
      <c r="F174">
        <v>9.93</v>
      </c>
      <c r="G174">
        <v>12170</v>
      </c>
    </row>
    <row r="175" spans="1:7">
      <c r="A175" s="7">
        <v>45845</v>
      </c>
      <c r="B175" t="s">
        <v>31</v>
      </c>
      <c r="C175">
        <v>1051</v>
      </c>
      <c r="D175">
        <v>246</v>
      </c>
      <c r="E175">
        <v>253985</v>
      </c>
      <c r="F175">
        <v>9.08</v>
      </c>
      <c r="G175">
        <v>7245</v>
      </c>
    </row>
    <row r="176" spans="1:7">
      <c r="A176" s="7">
        <v>45852</v>
      </c>
      <c r="B176" t="s">
        <v>14</v>
      </c>
      <c r="C176">
        <v>1457</v>
      </c>
      <c r="D176">
        <v>183</v>
      </c>
      <c r="E176">
        <v>129640</v>
      </c>
      <c r="F176">
        <v>7.98</v>
      </c>
      <c r="G176">
        <v>12985</v>
      </c>
    </row>
    <row r="177" spans="1:7">
      <c r="A177" s="7">
        <v>45852</v>
      </c>
      <c r="B177" t="s">
        <v>24</v>
      </c>
      <c r="C177">
        <v>670</v>
      </c>
      <c r="D177">
        <v>242</v>
      </c>
      <c r="E177">
        <v>281913</v>
      </c>
      <c r="F177">
        <v>9.6199999999999992</v>
      </c>
      <c r="G177">
        <v>16377</v>
      </c>
    </row>
    <row r="178" spans="1:7">
      <c r="A178" s="7">
        <v>45852</v>
      </c>
      <c r="B178" t="s">
        <v>31</v>
      </c>
      <c r="C178">
        <v>1111</v>
      </c>
      <c r="D178">
        <v>159</v>
      </c>
      <c r="E178">
        <v>360770</v>
      </c>
      <c r="F178">
        <v>8.7100000000000009</v>
      </c>
      <c r="G178">
        <v>11453</v>
      </c>
    </row>
    <row r="179" spans="1:7">
      <c r="A179" s="7">
        <v>45859</v>
      </c>
      <c r="B179" t="s">
        <v>14</v>
      </c>
      <c r="C179">
        <v>1197</v>
      </c>
      <c r="D179">
        <v>246</v>
      </c>
      <c r="E179">
        <v>127273</v>
      </c>
      <c r="F179">
        <v>6.69</v>
      </c>
      <c r="G179">
        <v>12323</v>
      </c>
    </row>
    <row r="180" spans="1:7">
      <c r="A180" s="7">
        <v>45859</v>
      </c>
      <c r="B180" t="s">
        <v>24</v>
      </c>
      <c r="C180">
        <v>754</v>
      </c>
      <c r="D180">
        <v>150</v>
      </c>
      <c r="E180">
        <v>189622</v>
      </c>
      <c r="F180">
        <v>4.25</v>
      </c>
      <c r="G180">
        <v>11911</v>
      </c>
    </row>
    <row r="181" spans="1:7">
      <c r="A181" s="7">
        <v>45859</v>
      </c>
      <c r="B181" t="s">
        <v>31</v>
      </c>
      <c r="C181">
        <v>1246</v>
      </c>
      <c r="D181">
        <v>107</v>
      </c>
      <c r="E181">
        <v>350949</v>
      </c>
      <c r="F181">
        <v>4.9800000000000004</v>
      </c>
      <c r="G181">
        <v>27809</v>
      </c>
    </row>
    <row r="182" spans="1:7">
      <c r="A182" s="7">
        <v>45866</v>
      </c>
      <c r="B182" t="s">
        <v>14</v>
      </c>
      <c r="C182">
        <v>780</v>
      </c>
      <c r="D182">
        <v>213</v>
      </c>
      <c r="E182">
        <v>121431</v>
      </c>
      <c r="F182">
        <v>4.97</v>
      </c>
      <c r="G182">
        <v>21464</v>
      </c>
    </row>
    <row r="183" spans="1:7">
      <c r="A183" s="7">
        <v>45866</v>
      </c>
      <c r="B183" t="s">
        <v>24</v>
      </c>
      <c r="C183">
        <v>1425</v>
      </c>
      <c r="D183">
        <v>143</v>
      </c>
      <c r="E183">
        <v>116742</v>
      </c>
      <c r="F183">
        <v>3.71</v>
      </c>
      <c r="G183">
        <v>27126</v>
      </c>
    </row>
    <row r="184" spans="1:7">
      <c r="A184" s="7">
        <v>45866</v>
      </c>
      <c r="B184" t="s">
        <v>31</v>
      </c>
      <c r="C184">
        <v>1490</v>
      </c>
      <c r="D184">
        <v>103</v>
      </c>
      <c r="E184">
        <v>81184</v>
      </c>
      <c r="F184">
        <v>7.79</v>
      </c>
      <c r="G184">
        <v>10681</v>
      </c>
    </row>
    <row r="185" spans="1:7">
      <c r="A185" s="7">
        <v>45873</v>
      </c>
      <c r="B185" t="s">
        <v>14</v>
      </c>
      <c r="C185">
        <v>949</v>
      </c>
      <c r="D185">
        <v>282</v>
      </c>
      <c r="E185">
        <v>87126</v>
      </c>
      <c r="F185">
        <v>4.96</v>
      </c>
      <c r="G185">
        <v>5413</v>
      </c>
    </row>
    <row r="186" spans="1:7">
      <c r="A186" s="7">
        <v>45873</v>
      </c>
      <c r="B186" t="s">
        <v>24</v>
      </c>
      <c r="C186">
        <v>640</v>
      </c>
      <c r="D186">
        <v>141</v>
      </c>
      <c r="E186">
        <v>267546</v>
      </c>
      <c r="F186">
        <v>8.58</v>
      </c>
      <c r="G186">
        <v>25058</v>
      </c>
    </row>
    <row r="187" spans="1:7">
      <c r="A187" s="7">
        <v>45873</v>
      </c>
      <c r="B187" t="s">
        <v>31</v>
      </c>
      <c r="C187">
        <v>616</v>
      </c>
      <c r="D187">
        <v>93</v>
      </c>
      <c r="E187">
        <v>133082</v>
      </c>
      <c r="F187">
        <v>8.51</v>
      </c>
      <c r="G187">
        <v>18303</v>
      </c>
    </row>
    <row r="188" spans="1:7">
      <c r="A188" s="7">
        <v>45880</v>
      </c>
      <c r="B188" t="s">
        <v>14</v>
      </c>
      <c r="C188">
        <v>1080</v>
      </c>
      <c r="D188">
        <v>184</v>
      </c>
      <c r="E188">
        <v>340557</v>
      </c>
      <c r="F188">
        <v>5.41</v>
      </c>
      <c r="G188">
        <v>5526</v>
      </c>
    </row>
    <row r="189" spans="1:7">
      <c r="A189" s="7">
        <v>45880</v>
      </c>
      <c r="B189" t="s">
        <v>24</v>
      </c>
      <c r="C189">
        <v>938</v>
      </c>
      <c r="D189">
        <v>236</v>
      </c>
      <c r="E189">
        <v>116472</v>
      </c>
      <c r="F189">
        <v>8.7200000000000006</v>
      </c>
      <c r="G189">
        <v>17460</v>
      </c>
    </row>
    <row r="190" spans="1:7">
      <c r="A190" s="7">
        <v>45880</v>
      </c>
      <c r="B190" t="s">
        <v>31</v>
      </c>
      <c r="C190">
        <v>1007</v>
      </c>
      <c r="D190">
        <v>258</v>
      </c>
      <c r="E190">
        <v>113412</v>
      </c>
      <c r="F190">
        <v>7.71</v>
      </c>
      <c r="G190">
        <v>14475</v>
      </c>
    </row>
    <row r="191" spans="1:7">
      <c r="A191" s="7">
        <v>45887</v>
      </c>
      <c r="B191" t="s">
        <v>14</v>
      </c>
      <c r="C191">
        <v>541</v>
      </c>
      <c r="D191">
        <v>208</v>
      </c>
      <c r="E191">
        <v>157547</v>
      </c>
      <c r="F191">
        <v>8.35</v>
      </c>
      <c r="G191">
        <v>20162</v>
      </c>
    </row>
    <row r="192" spans="1:7">
      <c r="A192" s="7">
        <v>45887</v>
      </c>
      <c r="B192" t="s">
        <v>24</v>
      </c>
      <c r="C192">
        <v>745</v>
      </c>
      <c r="D192">
        <v>98</v>
      </c>
      <c r="E192">
        <v>354816</v>
      </c>
      <c r="F192">
        <v>4.03</v>
      </c>
      <c r="G192">
        <v>17103</v>
      </c>
    </row>
    <row r="193" spans="1:7">
      <c r="A193" s="7">
        <v>45887</v>
      </c>
      <c r="B193" t="s">
        <v>31</v>
      </c>
      <c r="C193">
        <v>936</v>
      </c>
      <c r="D193">
        <v>97</v>
      </c>
      <c r="E193">
        <v>151799</v>
      </c>
      <c r="F193">
        <v>9.3699999999999992</v>
      </c>
      <c r="G193">
        <v>15461</v>
      </c>
    </row>
    <row r="194" spans="1:7">
      <c r="A194" s="7">
        <v>45894</v>
      </c>
      <c r="B194" t="s">
        <v>14</v>
      </c>
      <c r="C194">
        <v>1183</v>
      </c>
      <c r="D194">
        <v>223</v>
      </c>
      <c r="E194">
        <v>143811</v>
      </c>
      <c r="F194">
        <v>6.07</v>
      </c>
      <c r="G194">
        <v>22103</v>
      </c>
    </row>
    <row r="195" spans="1:7">
      <c r="A195" s="7">
        <v>45894</v>
      </c>
      <c r="B195" t="s">
        <v>24</v>
      </c>
      <c r="C195">
        <v>1413</v>
      </c>
      <c r="D195">
        <v>245</v>
      </c>
      <c r="E195">
        <v>296450</v>
      </c>
      <c r="F195">
        <v>6.52</v>
      </c>
      <c r="G195">
        <v>11625</v>
      </c>
    </row>
    <row r="196" spans="1:7">
      <c r="A196" s="7">
        <v>45894</v>
      </c>
      <c r="B196" t="s">
        <v>31</v>
      </c>
      <c r="C196">
        <v>791</v>
      </c>
      <c r="D196">
        <v>273</v>
      </c>
      <c r="E196">
        <v>144049</v>
      </c>
      <c r="F196">
        <v>3.08</v>
      </c>
      <c r="G196">
        <v>5281</v>
      </c>
    </row>
    <row r="197" spans="1:7">
      <c r="A197" s="7">
        <v>45901</v>
      </c>
      <c r="B197" t="s">
        <v>14</v>
      </c>
      <c r="C197">
        <v>1052</v>
      </c>
      <c r="D197">
        <v>180</v>
      </c>
      <c r="E197">
        <v>272534</v>
      </c>
      <c r="F197">
        <v>5.34</v>
      </c>
      <c r="G197">
        <v>13424</v>
      </c>
    </row>
    <row r="198" spans="1:7">
      <c r="A198" s="7">
        <v>45901</v>
      </c>
      <c r="B198" t="s">
        <v>24</v>
      </c>
      <c r="C198">
        <v>572</v>
      </c>
      <c r="D198">
        <v>270</v>
      </c>
      <c r="E198">
        <v>82265</v>
      </c>
      <c r="F198">
        <v>3.65</v>
      </c>
      <c r="G198">
        <v>13140</v>
      </c>
    </row>
    <row r="199" spans="1:7">
      <c r="A199" s="7">
        <v>45901</v>
      </c>
      <c r="B199" t="s">
        <v>31</v>
      </c>
      <c r="C199">
        <v>503</v>
      </c>
      <c r="D199">
        <v>253</v>
      </c>
      <c r="E199">
        <v>313562</v>
      </c>
      <c r="F199">
        <v>4.18</v>
      </c>
      <c r="G199">
        <v>19538</v>
      </c>
    </row>
    <row r="200" spans="1:7">
      <c r="A200" s="7">
        <v>45908</v>
      </c>
      <c r="B200" t="s">
        <v>14</v>
      </c>
      <c r="C200">
        <v>1017</v>
      </c>
      <c r="D200">
        <v>197</v>
      </c>
      <c r="E200">
        <v>89918</v>
      </c>
      <c r="F200">
        <v>3.91</v>
      </c>
      <c r="G200">
        <v>7881</v>
      </c>
    </row>
    <row r="201" spans="1:7">
      <c r="A201" s="7">
        <v>45908</v>
      </c>
      <c r="B201" t="s">
        <v>24</v>
      </c>
      <c r="C201">
        <v>860</v>
      </c>
      <c r="D201">
        <v>244</v>
      </c>
      <c r="E201">
        <v>348686</v>
      </c>
      <c r="F201">
        <v>5.12</v>
      </c>
      <c r="G201">
        <v>11418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8C65-0167-45ED-8A6D-6F7099D206F5}">
  <dimension ref="A1:G5"/>
  <sheetViews>
    <sheetView workbookViewId="0">
      <selection activeCell="F27" sqref="F27"/>
    </sheetView>
  </sheetViews>
  <sheetFormatPr defaultRowHeight="14.4"/>
  <cols>
    <col min="1" max="1" width="17.77734375" bestFit="1" customWidth="1"/>
    <col min="2" max="2" width="12.109375" bestFit="1" customWidth="1"/>
    <col min="3" max="3" width="11.33203125" bestFit="1" customWidth="1"/>
    <col min="4" max="4" width="15.109375" bestFit="1" customWidth="1"/>
    <col min="5" max="5" width="14.44140625" bestFit="1" customWidth="1"/>
    <col min="6" max="6" width="17.77734375" bestFit="1" customWidth="1"/>
    <col min="7" max="7" width="32.109375" bestFit="1" customWidth="1"/>
  </cols>
  <sheetData>
    <row r="1" spans="1:7">
      <c r="A1" t="s">
        <v>12</v>
      </c>
      <c r="B1" t="s">
        <v>347</v>
      </c>
      <c r="C1" t="s">
        <v>348</v>
      </c>
      <c r="D1" t="s">
        <v>349</v>
      </c>
      <c r="E1" t="s">
        <v>350</v>
      </c>
      <c r="F1" t="s">
        <v>351</v>
      </c>
      <c r="G1" t="s">
        <v>352</v>
      </c>
    </row>
    <row r="2" spans="1:7">
      <c r="A2" t="s">
        <v>59</v>
      </c>
      <c r="B2" s="7">
        <v>45458</v>
      </c>
      <c r="C2" s="7">
        <v>45488</v>
      </c>
      <c r="D2" t="s">
        <v>355</v>
      </c>
      <c r="E2">
        <v>175000</v>
      </c>
      <c r="F2" t="s">
        <v>356</v>
      </c>
      <c r="G2" t="s">
        <v>357</v>
      </c>
    </row>
    <row r="3" spans="1:7">
      <c r="A3" t="s">
        <v>55</v>
      </c>
      <c r="B3" s="7">
        <v>45627</v>
      </c>
      <c r="C3" s="7">
        <v>45657</v>
      </c>
      <c r="D3" t="s">
        <v>360</v>
      </c>
      <c r="E3">
        <v>225000</v>
      </c>
      <c r="F3" t="s">
        <v>361</v>
      </c>
      <c r="G3" t="s">
        <v>362</v>
      </c>
    </row>
    <row r="4" spans="1:7">
      <c r="A4" t="s">
        <v>18</v>
      </c>
      <c r="B4" s="7">
        <v>45667</v>
      </c>
      <c r="C4" s="7">
        <v>45698</v>
      </c>
      <c r="D4" t="s">
        <v>365</v>
      </c>
      <c r="E4">
        <v>200000</v>
      </c>
      <c r="F4" t="s">
        <v>366</v>
      </c>
      <c r="G4" t="s">
        <v>367</v>
      </c>
    </row>
    <row r="5" spans="1:7">
      <c r="A5" t="s">
        <v>22</v>
      </c>
      <c r="B5" s="7">
        <v>45717</v>
      </c>
      <c r="C5" s="7">
        <v>45747</v>
      </c>
      <c r="D5" t="s">
        <v>370</v>
      </c>
      <c r="E5">
        <v>160000</v>
      </c>
      <c r="F5" t="s">
        <v>371</v>
      </c>
      <c r="G5" t="s">
        <v>372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/>
  </sheetViews>
  <sheetFormatPr defaultColWidth="14.44140625" defaultRowHeight="15" customHeight="1"/>
  <cols>
    <col min="1" max="2" width="8.6640625" customWidth="1"/>
    <col min="3" max="3" width="18.88671875" customWidth="1"/>
    <col min="4" max="12" width="8.6640625" customWidth="1"/>
    <col min="13" max="13" width="19" customWidth="1"/>
    <col min="14" max="26" width="8.6640625" customWidth="1"/>
  </cols>
  <sheetData>
    <row r="1" spans="1:13" ht="14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4.4">
      <c r="A2" s="1" t="s">
        <v>13</v>
      </c>
      <c r="B2" s="1" t="s">
        <v>14</v>
      </c>
      <c r="C2" s="2">
        <v>45781</v>
      </c>
      <c r="D2" s="1" t="s">
        <v>15</v>
      </c>
      <c r="E2" s="1" t="s">
        <v>16</v>
      </c>
      <c r="F2" s="3">
        <v>2414</v>
      </c>
      <c r="G2" s="3">
        <v>245</v>
      </c>
      <c r="H2" s="3">
        <v>137</v>
      </c>
      <c r="I2" s="3">
        <v>21181</v>
      </c>
      <c r="J2" s="3">
        <v>45292</v>
      </c>
      <c r="K2" s="3">
        <v>133</v>
      </c>
      <c r="L2" s="1" t="s">
        <v>17</v>
      </c>
      <c r="M2" s="1" t="s">
        <v>18</v>
      </c>
    </row>
    <row r="3" spans="1:13" ht="14.4">
      <c r="A3" s="1" t="s">
        <v>19</v>
      </c>
      <c r="B3" s="1" t="s">
        <v>14</v>
      </c>
      <c r="C3" s="2">
        <v>45689</v>
      </c>
      <c r="D3" s="1" t="s">
        <v>15</v>
      </c>
      <c r="E3" s="1" t="s">
        <v>20</v>
      </c>
      <c r="F3" s="3">
        <v>1934</v>
      </c>
      <c r="G3" s="3">
        <v>210</v>
      </c>
      <c r="H3" s="3">
        <v>393</v>
      </c>
      <c r="I3" s="3">
        <v>29129</v>
      </c>
      <c r="J3" s="3">
        <v>73287</v>
      </c>
      <c r="K3" s="3">
        <v>273</v>
      </c>
      <c r="L3" s="1" t="s">
        <v>21</v>
      </c>
      <c r="M3" s="1" t="s">
        <v>22</v>
      </c>
    </row>
    <row r="4" spans="1:13" ht="14.4">
      <c r="A4" s="1" t="s">
        <v>23</v>
      </c>
      <c r="B4" s="1" t="s">
        <v>24</v>
      </c>
      <c r="C4" s="4">
        <v>45629</v>
      </c>
      <c r="D4" s="1" t="s">
        <v>25</v>
      </c>
      <c r="E4" s="1" t="s">
        <v>26</v>
      </c>
      <c r="F4" s="3">
        <v>3092</v>
      </c>
      <c r="G4" s="3">
        <v>177</v>
      </c>
      <c r="H4" s="3">
        <v>81</v>
      </c>
      <c r="I4" s="3">
        <v>47533</v>
      </c>
      <c r="J4" s="3">
        <v>29220</v>
      </c>
      <c r="K4" s="3">
        <v>121</v>
      </c>
      <c r="L4" s="1" t="s">
        <v>27</v>
      </c>
      <c r="M4" s="1" t="s">
        <v>18</v>
      </c>
    </row>
    <row r="5" spans="1:13" ht="14.4">
      <c r="A5" s="1" t="s">
        <v>28</v>
      </c>
      <c r="B5" s="1" t="s">
        <v>14</v>
      </c>
      <c r="C5" s="4">
        <v>45629</v>
      </c>
      <c r="D5" s="1" t="s">
        <v>15</v>
      </c>
      <c r="E5" s="1" t="s">
        <v>29</v>
      </c>
      <c r="F5" s="3">
        <v>3173</v>
      </c>
      <c r="G5" s="3">
        <v>229</v>
      </c>
      <c r="H5" s="3">
        <v>197</v>
      </c>
      <c r="I5" s="3">
        <v>29604</v>
      </c>
      <c r="J5" s="3">
        <v>21809</v>
      </c>
      <c r="K5" s="3">
        <v>272</v>
      </c>
      <c r="L5" s="1" t="s">
        <v>17</v>
      </c>
      <c r="M5" s="1" t="s">
        <v>18</v>
      </c>
    </row>
    <row r="6" spans="1:13" ht="14.4">
      <c r="A6" s="1" t="s">
        <v>30</v>
      </c>
      <c r="B6" s="1" t="s">
        <v>31</v>
      </c>
      <c r="C6" s="2">
        <v>45388</v>
      </c>
      <c r="D6" s="1" t="s">
        <v>15</v>
      </c>
      <c r="E6" s="1" t="s">
        <v>32</v>
      </c>
      <c r="F6" s="3">
        <v>2748</v>
      </c>
      <c r="G6" s="3">
        <v>145</v>
      </c>
      <c r="H6" s="3">
        <v>315</v>
      </c>
      <c r="I6" s="3">
        <v>24401</v>
      </c>
      <c r="J6" s="3">
        <v>61182</v>
      </c>
      <c r="K6" s="3">
        <v>200</v>
      </c>
      <c r="L6" s="1" t="s">
        <v>33</v>
      </c>
      <c r="M6" s="1" t="s">
        <v>22</v>
      </c>
    </row>
    <row r="7" spans="1:13" ht="14.4">
      <c r="A7" s="1" t="s">
        <v>34</v>
      </c>
      <c r="B7" s="1" t="s">
        <v>31</v>
      </c>
      <c r="C7" s="4">
        <v>45456</v>
      </c>
      <c r="D7" s="1" t="s">
        <v>15</v>
      </c>
      <c r="E7" s="1" t="s">
        <v>35</v>
      </c>
      <c r="F7" s="3">
        <v>3882</v>
      </c>
      <c r="G7" s="3">
        <v>239</v>
      </c>
      <c r="H7" s="3">
        <v>275</v>
      </c>
      <c r="I7" s="3">
        <v>58748</v>
      </c>
      <c r="J7" s="3">
        <v>44646</v>
      </c>
      <c r="K7" s="3">
        <v>149</v>
      </c>
      <c r="L7" s="1" t="s">
        <v>33</v>
      </c>
      <c r="M7" s="1" t="s">
        <v>22</v>
      </c>
    </row>
    <row r="8" spans="1:13" ht="14.4">
      <c r="A8" s="1" t="s">
        <v>36</v>
      </c>
      <c r="B8" s="1" t="s">
        <v>24</v>
      </c>
      <c r="C8" s="4">
        <v>45645</v>
      </c>
      <c r="D8" s="1" t="s">
        <v>25</v>
      </c>
      <c r="E8" s="1" t="s">
        <v>37</v>
      </c>
      <c r="F8" s="3">
        <v>4674</v>
      </c>
      <c r="G8" s="3">
        <v>409</v>
      </c>
      <c r="H8" s="3">
        <v>327</v>
      </c>
      <c r="I8" s="3">
        <v>20756</v>
      </c>
      <c r="J8" s="3">
        <v>63599</v>
      </c>
      <c r="K8" s="3">
        <v>212</v>
      </c>
      <c r="L8" s="1" t="s">
        <v>17</v>
      </c>
      <c r="M8" s="1" t="s">
        <v>18</v>
      </c>
    </row>
    <row r="9" spans="1:13" ht="14.4">
      <c r="A9" s="1" t="s">
        <v>38</v>
      </c>
      <c r="B9" s="1" t="s">
        <v>24</v>
      </c>
      <c r="C9" s="2">
        <v>45421</v>
      </c>
      <c r="D9" s="1" t="s">
        <v>25</v>
      </c>
      <c r="E9" s="1" t="s">
        <v>29</v>
      </c>
      <c r="F9" s="3">
        <v>1428</v>
      </c>
      <c r="G9" s="3">
        <v>347</v>
      </c>
      <c r="H9" s="3">
        <v>67</v>
      </c>
      <c r="I9" s="3">
        <v>21148</v>
      </c>
      <c r="J9" s="3">
        <v>19712</v>
      </c>
      <c r="K9" s="3">
        <v>120</v>
      </c>
      <c r="L9" s="1" t="s">
        <v>39</v>
      </c>
      <c r="M9" s="1" t="s">
        <v>18</v>
      </c>
    </row>
    <row r="10" spans="1:13" ht="14.4">
      <c r="A10" s="1" t="s">
        <v>40</v>
      </c>
      <c r="B10" s="1" t="s">
        <v>24</v>
      </c>
      <c r="C10" s="4">
        <v>45823</v>
      </c>
      <c r="D10" s="1" t="s">
        <v>15</v>
      </c>
      <c r="E10" s="1" t="s">
        <v>41</v>
      </c>
      <c r="F10" s="3">
        <v>4432</v>
      </c>
      <c r="G10" s="3">
        <v>223</v>
      </c>
      <c r="H10" s="3">
        <v>299</v>
      </c>
      <c r="I10" s="3">
        <v>59016</v>
      </c>
      <c r="J10" s="3">
        <v>21742</v>
      </c>
      <c r="K10" s="3">
        <v>171</v>
      </c>
      <c r="L10" s="1" t="s">
        <v>42</v>
      </c>
      <c r="M10" s="1" t="s">
        <v>18</v>
      </c>
    </row>
    <row r="11" spans="1:13" ht="14.4">
      <c r="A11" s="1" t="s">
        <v>43</v>
      </c>
      <c r="B11" s="1" t="s">
        <v>24</v>
      </c>
      <c r="C11" s="4">
        <v>45630</v>
      </c>
      <c r="D11" s="1" t="s">
        <v>15</v>
      </c>
      <c r="E11" s="1" t="s">
        <v>29</v>
      </c>
      <c r="F11" s="3">
        <v>2357</v>
      </c>
      <c r="G11" s="3">
        <v>274</v>
      </c>
      <c r="H11" s="3">
        <v>172</v>
      </c>
      <c r="I11" s="3">
        <v>21566</v>
      </c>
      <c r="J11" s="3">
        <v>66829</v>
      </c>
      <c r="K11" s="3">
        <v>284</v>
      </c>
      <c r="L11" s="1" t="s">
        <v>42</v>
      </c>
      <c r="M11" s="1" t="s">
        <v>18</v>
      </c>
    </row>
    <row r="12" spans="1:13" ht="14.4">
      <c r="A12" s="1" t="s">
        <v>44</v>
      </c>
      <c r="B12" s="1" t="s">
        <v>24</v>
      </c>
      <c r="C12" s="4">
        <v>45357</v>
      </c>
      <c r="D12" s="1" t="s">
        <v>15</v>
      </c>
      <c r="E12" s="1" t="s">
        <v>16</v>
      </c>
      <c r="F12" s="3">
        <v>1971</v>
      </c>
      <c r="G12" s="3">
        <v>370</v>
      </c>
      <c r="H12" s="3">
        <v>306</v>
      </c>
      <c r="I12" s="3">
        <v>31316</v>
      </c>
      <c r="J12" s="3">
        <v>27897</v>
      </c>
      <c r="K12" s="3">
        <v>88</v>
      </c>
      <c r="L12" s="1" t="s">
        <v>45</v>
      </c>
      <c r="M12" s="1" t="s">
        <v>22</v>
      </c>
    </row>
    <row r="13" spans="1:13" ht="14.4">
      <c r="A13" s="1" t="s">
        <v>46</v>
      </c>
      <c r="B13" s="1" t="s">
        <v>14</v>
      </c>
      <c r="C13" s="4">
        <v>45426</v>
      </c>
      <c r="D13" s="1" t="s">
        <v>15</v>
      </c>
      <c r="E13" s="1" t="s">
        <v>16</v>
      </c>
      <c r="F13" s="3">
        <v>1485</v>
      </c>
      <c r="G13" s="3">
        <v>353</v>
      </c>
      <c r="H13" s="3">
        <v>244</v>
      </c>
      <c r="I13" s="3">
        <v>38419</v>
      </c>
      <c r="J13" s="3">
        <v>38556</v>
      </c>
      <c r="K13" s="3">
        <v>86</v>
      </c>
      <c r="L13" s="1" t="s">
        <v>17</v>
      </c>
      <c r="M13" s="1" t="s">
        <v>18</v>
      </c>
    </row>
    <row r="14" spans="1:13" ht="14.4">
      <c r="A14" s="1" t="s">
        <v>47</v>
      </c>
      <c r="B14" s="1" t="s">
        <v>24</v>
      </c>
      <c r="C14" s="4">
        <v>45826</v>
      </c>
      <c r="D14" s="1" t="s">
        <v>25</v>
      </c>
      <c r="E14" s="1" t="s">
        <v>16</v>
      </c>
      <c r="F14" s="3">
        <v>3956</v>
      </c>
      <c r="G14" s="3">
        <v>319</v>
      </c>
      <c r="H14" s="3">
        <v>61</v>
      </c>
      <c r="I14" s="3">
        <v>58162</v>
      </c>
      <c r="J14" s="3">
        <v>28720</v>
      </c>
      <c r="K14" s="3">
        <v>213</v>
      </c>
      <c r="L14" s="1" t="s">
        <v>27</v>
      </c>
      <c r="M14" s="1" t="s">
        <v>18</v>
      </c>
    </row>
    <row r="15" spans="1:13" ht="14.4">
      <c r="A15" s="1" t="s">
        <v>48</v>
      </c>
      <c r="B15" s="1" t="s">
        <v>24</v>
      </c>
      <c r="C15" s="4">
        <v>45573</v>
      </c>
      <c r="D15" s="1" t="s">
        <v>15</v>
      </c>
      <c r="E15" s="1" t="s">
        <v>49</v>
      </c>
      <c r="F15" s="3">
        <v>2460</v>
      </c>
      <c r="G15" s="3">
        <v>409</v>
      </c>
      <c r="H15" s="3">
        <v>253</v>
      </c>
      <c r="I15" s="3">
        <v>36702</v>
      </c>
      <c r="J15" s="3">
        <v>46122</v>
      </c>
      <c r="K15" s="3">
        <v>264</v>
      </c>
      <c r="L15" s="1" t="s">
        <v>42</v>
      </c>
      <c r="M15" s="1" t="s">
        <v>18</v>
      </c>
    </row>
    <row r="16" spans="1:13" ht="14.4">
      <c r="A16" s="1" t="s">
        <v>50</v>
      </c>
      <c r="B16" s="1" t="s">
        <v>24</v>
      </c>
      <c r="C16" s="4">
        <v>45418</v>
      </c>
      <c r="D16" s="1" t="s">
        <v>15</v>
      </c>
      <c r="E16" s="1" t="s">
        <v>51</v>
      </c>
      <c r="F16" s="3">
        <v>3476</v>
      </c>
      <c r="G16" s="3">
        <v>355</v>
      </c>
      <c r="H16" s="3">
        <v>396</v>
      </c>
      <c r="I16" s="3">
        <v>37492</v>
      </c>
      <c r="J16" s="3">
        <v>27285</v>
      </c>
      <c r="K16" s="3">
        <v>179</v>
      </c>
      <c r="L16" s="1" t="s">
        <v>42</v>
      </c>
      <c r="M16" s="1" t="s">
        <v>18</v>
      </c>
    </row>
    <row r="17" spans="1:13" ht="14.4">
      <c r="A17" s="1" t="s">
        <v>52</v>
      </c>
      <c r="B17" s="1" t="s">
        <v>24</v>
      </c>
      <c r="C17" s="4">
        <v>45655</v>
      </c>
      <c r="D17" s="1" t="s">
        <v>25</v>
      </c>
      <c r="E17" s="1" t="s">
        <v>26</v>
      </c>
      <c r="F17" s="3">
        <v>4049</v>
      </c>
      <c r="G17" s="3">
        <v>377</v>
      </c>
      <c r="H17" s="3">
        <v>94</v>
      </c>
      <c r="I17" s="3">
        <v>48182</v>
      </c>
      <c r="J17" s="3">
        <v>42875</v>
      </c>
      <c r="K17" s="3">
        <v>172</v>
      </c>
      <c r="L17" s="1" t="s">
        <v>27</v>
      </c>
      <c r="M17" s="1" t="s">
        <v>18</v>
      </c>
    </row>
    <row r="18" spans="1:13" ht="14.4">
      <c r="A18" s="1" t="s">
        <v>53</v>
      </c>
      <c r="B18" s="1" t="s">
        <v>24</v>
      </c>
      <c r="C18" s="4">
        <v>45453</v>
      </c>
      <c r="D18" s="1" t="s">
        <v>15</v>
      </c>
      <c r="E18" s="1" t="s">
        <v>35</v>
      </c>
      <c r="F18" s="3">
        <v>1514</v>
      </c>
      <c r="G18" s="3">
        <v>164</v>
      </c>
      <c r="H18" s="3">
        <v>275</v>
      </c>
      <c r="I18" s="3">
        <v>41364</v>
      </c>
      <c r="J18" s="3">
        <v>44389</v>
      </c>
      <c r="K18" s="3">
        <v>83</v>
      </c>
      <c r="L18" s="1" t="s">
        <v>42</v>
      </c>
      <c r="M18" s="1" t="s">
        <v>18</v>
      </c>
    </row>
    <row r="19" spans="1:13" ht="14.4">
      <c r="A19" s="1" t="s">
        <v>54</v>
      </c>
      <c r="B19" s="1" t="s">
        <v>14</v>
      </c>
      <c r="C19" s="4">
        <v>45325</v>
      </c>
      <c r="D19" s="1" t="s">
        <v>25</v>
      </c>
      <c r="E19" s="1" t="s">
        <v>32</v>
      </c>
      <c r="F19" s="3">
        <v>4281</v>
      </c>
      <c r="G19" s="3">
        <v>101</v>
      </c>
      <c r="H19" s="3">
        <v>163</v>
      </c>
      <c r="I19" s="3">
        <v>32278</v>
      </c>
      <c r="J19" s="3">
        <v>53382</v>
      </c>
      <c r="K19" s="3">
        <v>235</v>
      </c>
      <c r="L19" s="1" t="s">
        <v>42</v>
      </c>
      <c r="M19" s="1" t="s">
        <v>55</v>
      </c>
    </row>
    <row r="20" spans="1:13" ht="14.4">
      <c r="A20" s="1" t="s">
        <v>56</v>
      </c>
      <c r="B20" s="1" t="s">
        <v>31</v>
      </c>
      <c r="C20" s="4">
        <v>45458</v>
      </c>
      <c r="D20" s="1" t="s">
        <v>57</v>
      </c>
      <c r="E20" s="1" t="s">
        <v>37</v>
      </c>
      <c r="F20" s="3">
        <v>1751</v>
      </c>
      <c r="G20" s="3">
        <v>143</v>
      </c>
      <c r="H20" s="3">
        <v>151</v>
      </c>
      <c r="I20" s="3">
        <v>31826</v>
      </c>
      <c r="J20" s="3">
        <v>47729</v>
      </c>
      <c r="K20" s="3">
        <v>95</v>
      </c>
      <c r="L20" s="1" t="s">
        <v>58</v>
      </c>
      <c r="M20" s="1" t="s">
        <v>59</v>
      </c>
    </row>
    <row r="21" spans="1:13" ht="15.75" customHeight="1">
      <c r="A21" s="1" t="s">
        <v>60</v>
      </c>
      <c r="B21" s="1" t="s">
        <v>14</v>
      </c>
      <c r="C21" s="4">
        <v>45478</v>
      </c>
      <c r="D21" s="1" t="s">
        <v>15</v>
      </c>
      <c r="E21" s="1" t="s">
        <v>51</v>
      </c>
      <c r="F21" s="3">
        <v>3753</v>
      </c>
      <c r="G21" s="3">
        <v>411</v>
      </c>
      <c r="H21" s="3">
        <v>308</v>
      </c>
      <c r="I21" s="3">
        <v>29138</v>
      </c>
      <c r="J21" s="3">
        <v>27678</v>
      </c>
      <c r="K21" s="3">
        <v>90</v>
      </c>
      <c r="L21" s="1" t="s">
        <v>21</v>
      </c>
      <c r="M21" s="1" t="s">
        <v>22</v>
      </c>
    </row>
    <row r="22" spans="1:13" ht="15.75" customHeight="1">
      <c r="A22" s="1" t="s">
        <v>61</v>
      </c>
      <c r="B22" s="1" t="s">
        <v>14</v>
      </c>
      <c r="C22" s="4">
        <v>45603</v>
      </c>
      <c r="D22" s="1" t="s">
        <v>25</v>
      </c>
      <c r="E22" s="1" t="s">
        <v>29</v>
      </c>
      <c r="F22" s="3">
        <v>1678</v>
      </c>
      <c r="G22" s="3">
        <v>423</v>
      </c>
      <c r="H22" s="3">
        <v>323</v>
      </c>
      <c r="I22" s="3">
        <v>55668</v>
      </c>
      <c r="J22" s="3">
        <v>37945</v>
      </c>
      <c r="K22" s="3">
        <v>230</v>
      </c>
      <c r="L22" s="1" t="s">
        <v>42</v>
      </c>
      <c r="M22" s="1" t="s">
        <v>55</v>
      </c>
    </row>
    <row r="23" spans="1:13" ht="15.75" customHeight="1">
      <c r="A23" s="1" t="s">
        <v>62</v>
      </c>
      <c r="B23" s="1" t="s">
        <v>14</v>
      </c>
      <c r="C23" s="4">
        <v>45823</v>
      </c>
      <c r="D23" s="1" t="s">
        <v>15</v>
      </c>
      <c r="E23" s="1" t="s">
        <v>35</v>
      </c>
      <c r="F23" s="3">
        <v>4896</v>
      </c>
      <c r="G23" s="3">
        <v>466</v>
      </c>
      <c r="H23" s="3">
        <v>233</v>
      </c>
      <c r="I23" s="3">
        <v>28621</v>
      </c>
      <c r="J23" s="3">
        <v>34270</v>
      </c>
      <c r="K23" s="3">
        <v>84</v>
      </c>
      <c r="L23" s="1" t="s">
        <v>17</v>
      </c>
      <c r="M23" s="1" t="s">
        <v>18</v>
      </c>
    </row>
    <row r="24" spans="1:13" ht="15.75" customHeight="1">
      <c r="A24" s="1" t="s">
        <v>63</v>
      </c>
      <c r="B24" s="1" t="s">
        <v>31</v>
      </c>
      <c r="C24" s="4">
        <v>45452</v>
      </c>
      <c r="D24" s="1" t="s">
        <v>57</v>
      </c>
      <c r="E24" s="1" t="s">
        <v>49</v>
      </c>
      <c r="F24" s="3">
        <v>2786</v>
      </c>
      <c r="G24" s="3">
        <v>368</v>
      </c>
      <c r="H24" s="3">
        <v>208</v>
      </c>
      <c r="I24" s="3">
        <v>42000</v>
      </c>
      <c r="J24" s="3">
        <v>39967</v>
      </c>
      <c r="K24" s="3">
        <v>103</v>
      </c>
      <c r="L24" s="1" t="s">
        <v>58</v>
      </c>
      <c r="M24" s="1" t="s">
        <v>59</v>
      </c>
    </row>
    <row r="25" spans="1:13" ht="15.75" customHeight="1">
      <c r="A25" s="1" t="s">
        <v>64</v>
      </c>
      <c r="B25" s="1" t="s">
        <v>24</v>
      </c>
      <c r="C25" s="4">
        <v>45583</v>
      </c>
      <c r="D25" s="1" t="s">
        <v>15</v>
      </c>
      <c r="E25" s="1" t="s">
        <v>26</v>
      </c>
      <c r="F25" s="3">
        <v>2607</v>
      </c>
      <c r="G25" s="3">
        <v>379</v>
      </c>
      <c r="H25" s="3">
        <v>180</v>
      </c>
      <c r="I25" s="3">
        <v>28712</v>
      </c>
      <c r="J25" s="3">
        <v>61620</v>
      </c>
      <c r="K25" s="3">
        <v>174</v>
      </c>
      <c r="L25" s="1" t="s">
        <v>45</v>
      </c>
      <c r="M25" s="1" t="s">
        <v>22</v>
      </c>
    </row>
    <row r="26" spans="1:13" ht="15.75" customHeight="1">
      <c r="A26" s="1" t="s">
        <v>65</v>
      </c>
      <c r="B26" s="1" t="s">
        <v>31</v>
      </c>
      <c r="C26" s="4">
        <v>45575</v>
      </c>
      <c r="D26" s="1" t="s">
        <v>57</v>
      </c>
      <c r="E26" s="1" t="s">
        <v>49</v>
      </c>
      <c r="F26" s="3">
        <v>4013</v>
      </c>
      <c r="G26" s="3">
        <v>320</v>
      </c>
      <c r="H26" s="3">
        <v>92</v>
      </c>
      <c r="I26" s="3">
        <v>54605</v>
      </c>
      <c r="J26" s="3">
        <v>60169</v>
      </c>
      <c r="K26" s="3">
        <v>232</v>
      </c>
      <c r="L26" s="1" t="s">
        <v>58</v>
      </c>
      <c r="M26" s="1" t="s">
        <v>59</v>
      </c>
    </row>
    <row r="27" spans="1:13" ht="15.75" customHeight="1">
      <c r="A27" s="1" t="s">
        <v>66</v>
      </c>
      <c r="B27" s="1" t="s">
        <v>24</v>
      </c>
      <c r="C27" s="4">
        <v>45791</v>
      </c>
      <c r="D27" s="1" t="s">
        <v>25</v>
      </c>
      <c r="E27" s="1" t="s">
        <v>49</v>
      </c>
      <c r="F27" s="3">
        <v>2707</v>
      </c>
      <c r="G27" s="3">
        <v>103</v>
      </c>
      <c r="H27" s="3">
        <v>51</v>
      </c>
      <c r="I27" s="3">
        <v>55302</v>
      </c>
      <c r="J27" s="3">
        <v>18801</v>
      </c>
      <c r="K27" s="3">
        <v>147</v>
      </c>
      <c r="L27" s="1" t="s">
        <v>39</v>
      </c>
      <c r="M27" s="1" t="s">
        <v>18</v>
      </c>
    </row>
    <row r="28" spans="1:13" ht="15.75" customHeight="1">
      <c r="A28" s="1" t="s">
        <v>67</v>
      </c>
      <c r="B28" s="1" t="s">
        <v>14</v>
      </c>
      <c r="C28" s="4">
        <v>45625</v>
      </c>
      <c r="D28" s="1" t="s">
        <v>15</v>
      </c>
      <c r="E28" s="1" t="s">
        <v>35</v>
      </c>
      <c r="F28" s="3">
        <v>2824</v>
      </c>
      <c r="G28" s="3">
        <v>425</v>
      </c>
      <c r="H28" s="3">
        <v>274</v>
      </c>
      <c r="I28" s="3">
        <v>31004</v>
      </c>
      <c r="J28" s="3">
        <v>53488</v>
      </c>
      <c r="K28" s="3">
        <v>268</v>
      </c>
      <c r="L28" s="1" t="s">
        <v>17</v>
      </c>
      <c r="M28" s="1" t="s">
        <v>18</v>
      </c>
    </row>
    <row r="29" spans="1:13" ht="15.75" customHeight="1">
      <c r="A29" s="1" t="s">
        <v>68</v>
      </c>
      <c r="B29" s="1" t="s">
        <v>31</v>
      </c>
      <c r="C29" s="4">
        <v>45356</v>
      </c>
      <c r="D29" s="1" t="s">
        <v>57</v>
      </c>
      <c r="E29" s="1" t="s">
        <v>20</v>
      </c>
      <c r="F29" s="3">
        <v>3558</v>
      </c>
      <c r="G29" s="3">
        <v>314</v>
      </c>
      <c r="H29" s="3">
        <v>199</v>
      </c>
      <c r="I29" s="3">
        <v>49612</v>
      </c>
      <c r="J29" s="3">
        <v>53929</v>
      </c>
      <c r="K29" s="3">
        <v>206</v>
      </c>
      <c r="L29" s="1" t="s">
        <v>58</v>
      </c>
      <c r="M29" s="1" t="s">
        <v>59</v>
      </c>
    </row>
    <row r="30" spans="1:13" ht="15.75" customHeight="1">
      <c r="A30" s="1" t="s">
        <v>69</v>
      </c>
      <c r="B30" s="1" t="s">
        <v>24</v>
      </c>
      <c r="C30" s="4">
        <v>45734</v>
      </c>
      <c r="D30" s="1" t="s">
        <v>25</v>
      </c>
      <c r="E30" s="1" t="s">
        <v>20</v>
      </c>
      <c r="F30" s="3">
        <v>3418</v>
      </c>
      <c r="G30" s="3">
        <v>188</v>
      </c>
      <c r="H30" s="3">
        <v>387</v>
      </c>
      <c r="I30" s="3">
        <v>57431</v>
      </c>
      <c r="J30" s="3">
        <v>36933</v>
      </c>
      <c r="K30" s="3">
        <v>202</v>
      </c>
      <c r="L30" s="1" t="s">
        <v>27</v>
      </c>
      <c r="M30" s="1" t="s">
        <v>18</v>
      </c>
    </row>
    <row r="31" spans="1:13" ht="15.75" customHeight="1">
      <c r="A31" s="1" t="s">
        <v>70</v>
      </c>
      <c r="B31" s="1" t="s">
        <v>24</v>
      </c>
      <c r="C31" s="4">
        <v>45773</v>
      </c>
      <c r="D31" s="1" t="s">
        <v>15</v>
      </c>
      <c r="E31" s="1" t="s">
        <v>16</v>
      </c>
      <c r="F31" s="3">
        <v>2411</v>
      </c>
      <c r="G31" s="3">
        <v>194</v>
      </c>
      <c r="H31" s="3">
        <v>168</v>
      </c>
      <c r="I31" s="3">
        <v>26665</v>
      </c>
      <c r="J31" s="3">
        <v>71699</v>
      </c>
      <c r="K31" s="3">
        <v>197</v>
      </c>
      <c r="L31" s="1" t="s">
        <v>42</v>
      </c>
      <c r="M31" s="1" t="s">
        <v>18</v>
      </c>
    </row>
    <row r="32" spans="1:13" ht="15.75" customHeight="1">
      <c r="A32" s="1" t="s">
        <v>71</v>
      </c>
      <c r="B32" s="1" t="s">
        <v>14</v>
      </c>
      <c r="C32" s="4">
        <v>45658</v>
      </c>
      <c r="D32" s="1" t="s">
        <v>15</v>
      </c>
      <c r="E32" s="1" t="s">
        <v>26</v>
      </c>
      <c r="F32" s="3">
        <v>4036</v>
      </c>
      <c r="G32" s="3">
        <v>112</v>
      </c>
      <c r="H32" s="3">
        <v>382</v>
      </c>
      <c r="I32" s="3">
        <v>56284</v>
      </c>
      <c r="J32" s="3">
        <v>29440</v>
      </c>
      <c r="K32" s="3">
        <v>279</v>
      </c>
      <c r="L32" s="1" t="s">
        <v>17</v>
      </c>
      <c r="M32" s="1" t="s">
        <v>18</v>
      </c>
    </row>
    <row r="33" spans="1:13" ht="15.75" customHeight="1">
      <c r="A33" s="1" t="s">
        <v>72</v>
      </c>
      <c r="B33" s="1" t="s">
        <v>24</v>
      </c>
      <c r="C33" s="4">
        <v>45419</v>
      </c>
      <c r="D33" s="1" t="s">
        <v>25</v>
      </c>
      <c r="E33" s="1" t="s">
        <v>20</v>
      </c>
      <c r="F33" s="3">
        <v>2776</v>
      </c>
      <c r="G33" s="3">
        <v>307</v>
      </c>
      <c r="H33" s="3">
        <v>178</v>
      </c>
      <c r="I33" s="3">
        <v>43365</v>
      </c>
      <c r="J33" s="3">
        <v>48408</v>
      </c>
      <c r="K33" s="3">
        <v>138</v>
      </c>
      <c r="L33" s="1" t="s">
        <v>17</v>
      </c>
      <c r="M33" s="1" t="s">
        <v>18</v>
      </c>
    </row>
    <row r="34" spans="1:13" ht="15.75" customHeight="1">
      <c r="A34" s="1" t="s">
        <v>73</v>
      </c>
      <c r="B34" s="1" t="s">
        <v>24</v>
      </c>
      <c r="C34" s="4">
        <v>45574</v>
      </c>
      <c r="D34" s="1" t="s">
        <v>25</v>
      </c>
      <c r="E34" s="1" t="s">
        <v>16</v>
      </c>
      <c r="F34" s="3">
        <v>4929</v>
      </c>
      <c r="G34" s="3">
        <v>182</v>
      </c>
      <c r="H34" s="3">
        <v>95</v>
      </c>
      <c r="I34" s="3">
        <v>32181</v>
      </c>
      <c r="J34" s="3">
        <v>31084</v>
      </c>
      <c r="K34" s="3">
        <v>289</v>
      </c>
      <c r="L34" s="1" t="s">
        <v>39</v>
      </c>
      <c r="M34" s="1" t="s">
        <v>18</v>
      </c>
    </row>
    <row r="35" spans="1:13" ht="15.75" customHeight="1">
      <c r="A35" s="1" t="s">
        <v>74</v>
      </c>
      <c r="B35" s="1" t="s">
        <v>14</v>
      </c>
      <c r="C35" s="4">
        <v>45666</v>
      </c>
      <c r="D35" s="1" t="s">
        <v>15</v>
      </c>
      <c r="E35" s="1" t="s">
        <v>26</v>
      </c>
      <c r="F35" s="3">
        <v>1015</v>
      </c>
      <c r="G35" s="3">
        <v>366</v>
      </c>
      <c r="H35" s="3">
        <v>308</v>
      </c>
      <c r="I35" s="3">
        <v>38127</v>
      </c>
      <c r="J35" s="3">
        <v>63790</v>
      </c>
      <c r="K35" s="3">
        <v>287</v>
      </c>
      <c r="L35" s="1" t="s">
        <v>17</v>
      </c>
      <c r="M35" s="1" t="s">
        <v>18</v>
      </c>
    </row>
    <row r="36" spans="1:13" ht="15.75" customHeight="1">
      <c r="A36" s="1" t="s">
        <v>75</v>
      </c>
      <c r="B36" s="1" t="s">
        <v>24</v>
      </c>
      <c r="C36" s="4">
        <v>45785</v>
      </c>
      <c r="D36" s="1" t="s">
        <v>25</v>
      </c>
      <c r="E36" s="1" t="s">
        <v>51</v>
      </c>
      <c r="F36" s="3">
        <v>3316</v>
      </c>
      <c r="G36" s="3">
        <v>332</v>
      </c>
      <c r="H36" s="3">
        <v>268</v>
      </c>
      <c r="I36" s="3">
        <v>40095</v>
      </c>
      <c r="J36" s="3">
        <v>36913</v>
      </c>
      <c r="K36" s="3">
        <v>265</v>
      </c>
      <c r="L36" s="1" t="s">
        <v>27</v>
      </c>
      <c r="M36" s="1" t="s">
        <v>18</v>
      </c>
    </row>
    <row r="37" spans="1:13" ht="15.75" customHeight="1">
      <c r="A37" s="1" t="s">
        <v>76</v>
      </c>
      <c r="B37" s="1" t="s">
        <v>14</v>
      </c>
      <c r="C37" s="4">
        <v>45416</v>
      </c>
      <c r="D37" s="1" t="s">
        <v>15</v>
      </c>
      <c r="E37" s="1" t="s">
        <v>29</v>
      </c>
      <c r="F37" s="3">
        <v>2274</v>
      </c>
      <c r="G37" s="3">
        <v>243</v>
      </c>
      <c r="H37" s="3">
        <v>222</v>
      </c>
      <c r="I37" s="3">
        <v>43066</v>
      </c>
      <c r="J37" s="3">
        <v>59174</v>
      </c>
      <c r="K37" s="3">
        <v>80</v>
      </c>
      <c r="L37" s="1" t="s">
        <v>21</v>
      </c>
      <c r="M37" s="1" t="s">
        <v>22</v>
      </c>
    </row>
    <row r="38" spans="1:13" ht="15.75" customHeight="1">
      <c r="A38" s="1" t="s">
        <v>77</v>
      </c>
      <c r="B38" s="1" t="s">
        <v>24</v>
      </c>
      <c r="C38" s="4">
        <v>45804</v>
      </c>
      <c r="D38" s="1" t="s">
        <v>25</v>
      </c>
      <c r="E38" s="1" t="s">
        <v>20</v>
      </c>
      <c r="F38" s="3">
        <v>4095</v>
      </c>
      <c r="G38" s="3">
        <v>385</v>
      </c>
      <c r="H38" s="3">
        <v>400</v>
      </c>
      <c r="I38" s="3">
        <v>45300</v>
      </c>
      <c r="J38" s="3">
        <v>31795</v>
      </c>
      <c r="K38" s="3">
        <v>80</v>
      </c>
      <c r="L38" s="1" t="s">
        <v>27</v>
      </c>
      <c r="M38" s="1" t="s">
        <v>18</v>
      </c>
    </row>
    <row r="39" spans="1:13" ht="15.75" customHeight="1">
      <c r="A39" s="1" t="s">
        <v>78</v>
      </c>
      <c r="B39" s="1" t="s">
        <v>14</v>
      </c>
      <c r="C39" s="4">
        <v>45545</v>
      </c>
      <c r="D39" s="1" t="s">
        <v>25</v>
      </c>
      <c r="E39" s="1" t="s">
        <v>26</v>
      </c>
      <c r="F39" s="3">
        <v>1230</v>
      </c>
      <c r="G39" s="3">
        <v>309</v>
      </c>
      <c r="H39" s="3">
        <v>207</v>
      </c>
      <c r="I39" s="3">
        <v>44629</v>
      </c>
      <c r="J39" s="3">
        <v>40699</v>
      </c>
      <c r="K39" s="3">
        <v>195</v>
      </c>
      <c r="L39" s="1" t="s">
        <v>42</v>
      </c>
      <c r="M39" s="1" t="s">
        <v>55</v>
      </c>
    </row>
    <row r="40" spans="1:13" ht="15.75" customHeight="1">
      <c r="A40" s="1" t="s">
        <v>79</v>
      </c>
      <c r="B40" s="1" t="s">
        <v>14</v>
      </c>
      <c r="C40" s="4">
        <v>45621</v>
      </c>
      <c r="D40" s="1" t="s">
        <v>15</v>
      </c>
      <c r="E40" s="1" t="s">
        <v>49</v>
      </c>
      <c r="F40" s="3">
        <v>1341</v>
      </c>
      <c r="G40" s="3">
        <v>472</v>
      </c>
      <c r="H40" s="3">
        <v>238</v>
      </c>
      <c r="I40" s="3">
        <v>51386</v>
      </c>
      <c r="J40" s="3">
        <v>51706</v>
      </c>
      <c r="K40" s="3">
        <v>133</v>
      </c>
      <c r="L40" s="1" t="s">
        <v>21</v>
      </c>
      <c r="M40" s="1" t="s">
        <v>22</v>
      </c>
    </row>
    <row r="41" spans="1:13" ht="15.75" customHeight="1">
      <c r="A41" s="1" t="s">
        <v>80</v>
      </c>
      <c r="B41" s="1" t="s">
        <v>24</v>
      </c>
      <c r="C41" s="4">
        <v>45818</v>
      </c>
      <c r="D41" s="1" t="s">
        <v>15</v>
      </c>
      <c r="E41" s="1" t="s">
        <v>20</v>
      </c>
      <c r="F41" s="3">
        <v>3615</v>
      </c>
      <c r="G41" s="3">
        <v>192</v>
      </c>
      <c r="H41" s="3">
        <v>162</v>
      </c>
      <c r="I41" s="3">
        <v>27492</v>
      </c>
      <c r="J41" s="3">
        <v>35341</v>
      </c>
      <c r="K41" s="3">
        <v>125</v>
      </c>
      <c r="L41" s="1" t="s">
        <v>42</v>
      </c>
      <c r="M41" s="1" t="s">
        <v>18</v>
      </c>
    </row>
    <row r="42" spans="1:13" ht="15.75" customHeight="1">
      <c r="A42" s="1" t="s">
        <v>81</v>
      </c>
      <c r="B42" s="1" t="s">
        <v>14</v>
      </c>
      <c r="C42" s="4">
        <v>45401</v>
      </c>
      <c r="D42" s="1" t="s">
        <v>15</v>
      </c>
      <c r="E42" s="1" t="s">
        <v>26</v>
      </c>
      <c r="F42" s="3">
        <v>4001</v>
      </c>
      <c r="G42" s="3">
        <v>353</v>
      </c>
      <c r="H42" s="3">
        <v>129</v>
      </c>
      <c r="I42" s="3">
        <v>41265</v>
      </c>
      <c r="J42" s="3">
        <v>37279</v>
      </c>
      <c r="K42" s="3">
        <v>275</v>
      </c>
      <c r="L42" s="1" t="s">
        <v>17</v>
      </c>
      <c r="M42" s="1" t="s">
        <v>18</v>
      </c>
    </row>
    <row r="43" spans="1:13" ht="15.75" customHeight="1">
      <c r="A43" s="1" t="s">
        <v>82</v>
      </c>
      <c r="B43" s="1" t="s">
        <v>14</v>
      </c>
      <c r="C43" s="4">
        <v>45683</v>
      </c>
      <c r="D43" s="1" t="s">
        <v>25</v>
      </c>
      <c r="E43" s="1" t="s">
        <v>35</v>
      </c>
      <c r="F43" s="3">
        <v>3451</v>
      </c>
      <c r="G43" s="3">
        <v>363</v>
      </c>
      <c r="H43" s="3">
        <v>393</v>
      </c>
      <c r="I43" s="3">
        <v>44853</v>
      </c>
      <c r="J43" s="3">
        <v>69032</v>
      </c>
      <c r="K43" s="3">
        <v>211</v>
      </c>
      <c r="L43" s="1" t="s">
        <v>42</v>
      </c>
      <c r="M43" s="1" t="s">
        <v>55</v>
      </c>
    </row>
    <row r="44" spans="1:13" ht="15.75" customHeight="1">
      <c r="A44" s="1" t="s">
        <v>83</v>
      </c>
      <c r="B44" s="1" t="s">
        <v>14</v>
      </c>
      <c r="C44" s="4">
        <v>45702</v>
      </c>
      <c r="D44" s="1" t="s">
        <v>15</v>
      </c>
      <c r="E44" s="1" t="s">
        <v>41</v>
      </c>
      <c r="F44" s="3">
        <v>4891</v>
      </c>
      <c r="G44" s="3">
        <v>450</v>
      </c>
      <c r="H44" s="3">
        <v>387</v>
      </c>
      <c r="I44" s="3">
        <v>48746</v>
      </c>
      <c r="J44" s="3">
        <v>37312</v>
      </c>
      <c r="K44" s="3">
        <v>154</v>
      </c>
      <c r="L44" s="1" t="s">
        <v>17</v>
      </c>
      <c r="M44" s="1" t="s">
        <v>18</v>
      </c>
    </row>
    <row r="45" spans="1:13" ht="15.75" customHeight="1">
      <c r="A45" s="1" t="s">
        <v>84</v>
      </c>
      <c r="B45" s="1" t="s">
        <v>14</v>
      </c>
      <c r="C45" s="4">
        <v>45541</v>
      </c>
      <c r="D45" s="1" t="s">
        <v>15</v>
      </c>
      <c r="E45" s="1" t="s">
        <v>26</v>
      </c>
      <c r="F45" s="3">
        <v>1452</v>
      </c>
      <c r="G45" s="3">
        <v>281</v>
      </c>
      <c r="H45" s="3">
        <v>326</v>
      </c>
      <c r="I45" s="3">
        <v>51556</v>
      </c>
      <c r="J45" s="3">
        <v>62599</v>
      </c>
      <c r="K45" s="3">
        <v>290</v>
      </c>
      <c r="L45" s="1" t="s">
        <v>21</v>
      </c>
      <c r="M45" s="1" t="s">
        <v>22</v>
      </c>
    </row>
    <row r="46" spans="1:13" ht="15.75" customHeight="1">
      <c r="A46" s="1" t="s">
        <v>85</v>
      </c>
      <c r="B46" s="1" t="s">
        <v>31</v>
      </c>
      <c r="C46" s="4">
        <v>45487</v>
      </c>
      <c r="D46" s="1" t="s">
        <v>15</v>
      </c>
      <c r="E46" s="1" t="s">
        <v>51</v>
      </c>
      <c r="F46" s="3">
        <v>3806</v>
      </c>
      <c r="G46" s="3">
        <v>114</v>
      </c>
      <c r="H46" s="3">
        <v>278</v>
      </c>
      <c r="I46" s="3">
        <v>36148</v>
      </c>
      <c r="J46" s="3">
        <v>24209</v>
      </c>
      <c r="K46" s="3">
        <v>201</v>
      </c>
      <c r="L46" s="1" t="s">
        <v>33</v>
      </c>
      <c r="M46" s="1" t="s">
        <v>22</v>
      </c>
    </row>
    <row r="47" spans="1:13" ht="15.75" customHeight="1">
      <c r="A47" s="1" t="s">
        <v>86</v>
      </c>
      <c r="B47" s="1" t="s">
        <v>14</v>
      </c>
      <c r="C47" s="4">
        <v>45334</v>
      </c>
      <c r="D47" s="1" t="s">
        <v>15</v>
      </c>
      <c r="E47" s="1" t="s">
        <v>20</v>
      </c>
      <c r="F47" s="3">
        <v>2923</v>
      </c>
      <c r="G47" s="3">
        <v>330</v>
      </c>
      <c r="H47" s="3">
        <v>250</v>
      </c>
      <c r="I47" s="3">
        <v>23993</v>
      </c>
      <c r="J47" s="3">
        <v>74590</v>
      </c>
      <c r="K47" s="3">
        <v>92</v>
      </c>
      <c r="L47" s="1" t="s">
        <v>21</v>
      </c>
      <c r="M47" s="1" t="s">
        <v>22</v>
      </c>
    </row>
    <row r="48" spans="1:13" ht="15.75" customHeight="1">
      <c r="A48" s="1" t="s">
        <v>87</v>
      </c>
      <c r="B48" s="1" t="s">
        <v>31</v>
      </c>
      <c r="C48" s="4">
        <v>45365</v>
      </c>
      <c r="D48" s="1" t="s">
        <v>57</v>
      </c>
      <c r="E48" s="1" t="s">
        <v>49</v>
      </c>
      <c r="F48" s="3">
        <v>3361</v>
      </c>
      <c r="G48" s="3">
        <v>188</v>
      </c>
      <c r="H48" s="3">
        <v>358</v>
      </c>
      <c r="I48" s="3">
        <v>39838</v>
      </c>
      <c r="J48" s="3">
        <v>24536</v>
      </c>
      <c r="K48" s="3">
        <v>120</v>
      </c>
      <c r="L48" s="1" t="s">
        <v>58</v>
      </c>
      <c r="M48" s="1" t="s">
        <v>59</v>
      </c>
    </row>
    <row r="49" spans="1:13" ht="15.75" customHeight="1">
      <c r="A49" s="1" t="s">
        <v>88</v>
      </c>
      <c r="B49" s="1" t="s">
        <v>14</v>
      </c>
      <c r="C49" s="4">
        <v>45693</v>
      </c>
      <c r="D49" s="1" t="s">
        <v>25</v>
      </c>
      <c r="E49" s="1" t="s">
        <v>32</v>
      </c>
      <c r="F49" s="3">
        <v>3074</v>
      </c>
      <c r="G49" s="3">
        <v>371</v>
      </c>
      <c r="H49" s="3">
        <v>348</v>
      </c>
      <c r="I49" s="3">
        <v>24104</v>
      </c>
      <c r="J49" s="3">
        <v>57803</v>
      </c>
      <c r="K49" s="3">
        <v>213</v>
      </c>
      <c r="L49" s="1" t="s">
        <v>42</v>
      </c>
      <c r="M49" s="1" t="s">
        <v>55</v>
      </c>
    </row>
    <row r="50" spans="1:13" ht="15.75" customHeight="1">
      <c r="A50" s="1" t="s">
        <v>89</v>
      </c>
      <c r="B50" s="1" t="s">
        <v>24</v>
      </c>
      <c r="C50" s="4">
        <v>45533</v>
      </c>
      <c r="D50" s="1" t="s">
        <v>25</v>
      </c>
      <c r="E50" s="1" t="s">
        <v>37</v>
      </c>
      <c r="F50" s="3">
        <v>4276</v>
      </c>
      <c r="G50" s="3">
        <v>227</v>
      </c>
      <c r="H50" s="3">
        <v>223</v>
      </c>
      <c r="I50" s="3">
        <v>43443</v>
      </c>
      <c r="J50" s="3">
        <v>41005</v>
      </c>
      <c r="K50" s="3">
        <v>191</v>
      </c>
      <c r="L50" s="1" t="s">
        <v>39</v>
      </c>
      <c r="M50" s="1" t="s">
        <v>18</v>
      </c>
    </row>
    <row r="51" spans="1:13" ht="15.75" customHeight="1">
      <c r="A51" s="1" t="s">
        <v>90</v>
      </c>
      <c r="B51" s="1" t="s">
        <v>24</v>
      </c>
      <c r="C51" s="4">
        <v>45769</v>
      </c>
      <c r="D51" s="1" t="s">
        <v>15</v>
      </c>
      <c r="E51" s="1" t="s">
        <v>16</v>
      </c>
      <c r="F51" s="3">
        <v>4401</v>
      </c>
      <c r="G51" s="3">
        <v>421</v>
      </c>
      <c r="H51" s="3">
        <v>216</v>
      </c>
      <c r="I51" s="3">
        <v>24890</v>
      </c>
      <c r="J51" s="3">
        <v>54361</v>
      </c>
      <c r="K51" s="3">
        <v>148</v>
      </c>
      <c r="L51" s="1" t="s">
        <v>42</v>
      </c>
      <c r="M51" s="1" t="s">
        <v>18</v>
      </c>
    </row>
    <row r="52" spans="1:13" ht="15.75" customHeight="1">
      <c r="A52" s="1" t="s">
        <v>91</v>
      </c>
      <c r="B52" s="1" t="s">
        <v>31</v>
      </c>
      <c r="C52" s="4">
        <v>45425</v>
      </c>
      <c r="D52" s="1" t="s">
        <v>57</v>
      </c>
      <c r="E52" s="1" t="s">
        <v>20</v>
      </c>
      <c r="F52" s="3">
        <v>4161</v>
      </c>
      <c r="G52" s="3">
        <v>481</v>
      </c>
      <c r="H52" s="3">
        <v>61</v>
      </c>
      <c r="I52" s="3">
        <v>45884</v>
      </c>
      <c r="J52" s="3">
        <v>48955</v>
      </c>
      <c r="K52" s="3">
        <v>215</v>
      </c>
      <c r="L52" s="1" t="s">
        <v>58</v>
      </c>
      <c r="M52" s="1" t="s">
        <v>59</v>
      </c>
    </row>
    <row r="53" spans="1:13" ht="15.75" customHeight="1">
      <c r="A53" s="1" t="s">
        <v>92</v>
      </c>
      <c r="B53" s="1" t="s">
        <v>24</v>
      </c>
      <c r="C53" s="4">
        <v>45539</v>
      </c>
      <c r="D53" s="1" t="s">
        <v>25</v>
      </c>
      <c r="E53" s="1" t="s">
        <v>26</v>
      </c>
      <c r="F53" s="3">
        <v>2613</v>
      </c>
      <c r="G53" s="3">
        <v>455</v>
      </c>
      <c r="H53" s="3">
        <v>228</v>
      </c>
      <c r="I53" s="3">
        <v>21645</v>
      </c>
      <c r="J53" s="3">
        <v>61334</v>
      </c>
      <c r="K53" s="3">
        <v>261</v>
      </c>
      <c r="L53" s="1" t="s">
        <v>39</v>
      </c>
      <c r="M53" s="1" t="s">
        <v>18</v>
      </c>
    </row>
    <row r="54" spans="1:13" ht="15.75" customHeight="1">
      <c r="A54" s="1" t="s">
        <v>93</v>
      </c>
      <c r="B54" s="1" t="s">
        <v>24</v>
      </c>
      <c r="C54" s="4">
        <v>45516</v>
      </c>
      <c r="D54" s="1" t="s">
        <v>25</v>
      </c>
      <c r="E54" s="1" t="s">
        <v>35</v>
      </c>
      <c r="F54" s="3">
        <v>2842</v>
      </c>
      <c r="G54" s="3">
        <v>213</v>
      </c>
      <c r="H54" s="3">
        <v>331</v>
      </c>
      <c r="I54" s="3">
        <v>57660</v>
      </c>
      <c r="J54" s="3">
        <v>68606</v>
      </c>
      <c r="K54" s="3">
        <v>87</v>
      </c>
      <c r="L54" s="1" t="s">
        <v>27</v>
      </c>
      <c r="M54" s="1" t="s">
        <v>18</v>
      </c>
    </row>
    <row r="55" spans="1:13" ht="15.75" customHeight="1">
      <c r="A55" s="1" t="s">
        <v>94</v>
      </c>
      <c r="B55" s="1" t="s">
        <v>14</v>
      </c>
      <c r="C55" s="4">
        <v>45722</v>
      </c>
      <c r="D55" s="1" t="s">
        <v>15</v>
      </c>
      <c r="E55" s="1" t="s">
        <v>37</v>
      </c>
      <c r="F55" s="3">
        <v>4851</v>
      </c>
      <c r="G55" s="3">
        <v>460</v>
      </c>
      <c r="H55" s="3">
        <v>212</v>
      </c>
      <c r="I55" s="3">
        <v>58075</v>
      </c>
      <c r="J55" s="3">
        <v>59574</v>
      </c>
      <c r="K55" s="3">
        <v>239</v>
      </c>
      <c r="L55" s="1" t="s">
        <v>21</v>
      </c>
      <c r="M55" s="1" t="s">
        <v>22</v>
      </c>
    </row>
    <row r="56" spans="1:13" ht="15.75" customHeight="1">
      <c r="A56" s="1" t="s">
        <v>95</v>
      </c>
      <c r="B56" s="1" t="s">
        <v>24</v>
      </c>
      <c r="C56" s="4">
        <v>45420</v>
      </c>
      <c r="D56" s="1" t="s">
        <v>15</v>
      </c>
      <c r="E56" s="1" t="s">
        <v>20</v>
      </c>
      <c r="F56" s="3">
        <v>1828</v>
      </c>
      <c r="G56" s="3">
        <v>450</v>
      </c>
      <c r="H56" s="3">
        <v>214</v>
      </c>
      <c r="I56" s="3">
        <v>52115</v>
      </c>
      <c r="J56" s="3">
        <v>19166</v>
      </c>
      <c r="K56" s="3">
        <v>190</v>
      </c>
      <c r="L56" s="1" t="s">
        <v>42</v>
      </c>
      <c r="M56" s="1" t="s">
        <v>18</v>
      </c>
    </row>
    <row r="57" spans="1:13" ht="15.75" customHeight="1">
      <c r="A57" s="1" t="s">
        <v>96</v>
      </c>
      <c r="B57" s="1" t="s">
        <v>14</v>
      </c>
      <c r="C57" s="4">
        <v>45707</v>
      </c>
      <c r="D57" s="1" t="s">
        <v>25</v>
      </c>
      <c r="E57" s="1" t="s">
        <v>49</v>
      </c>
      <c r="F57" s="3">
        <v>2422</v>
      </c>
      <c r="G57" s="3">
        <v>455</v>
      </c>
      <c r="H57" s="3">
        <v>376</v>
      </c>
      <c r="I57" s="3">
        <v>23428</v>
      </c>
      <c r="J57" s="3">
        <v>46775</v>
      </c>
      <c r="K57" s="3">
        <v>259</v>
      </c>
      <c r="L57" s="1" t="s">
        <v>42</v>
      </c>
      <c r="M57" s="1" t="s">
        <v>55</v>
      </c>
    </row>
    <row r="58" spans="1:13" ht="15.75" customHeight="1">
      <c r="A58" s="1" t="s">
        <v>97</v>
      </c>
      <c r="B58" s="1" t="s">
        <v>14</v>
      </c>
      <c r="C58" s="4">
        <v>45299</v>
      </c>
      <c r="D58" s="1" t="s">
        <v>15</v>
      </c>
      <c r="E58" s="1" t="s">
        <v>41</v>
      </c>
      <c r="F58" s="3">
        <v>2683</v>
      </c>
      <c r="G58" s="3">
        <v>405</v>
      </c>
      <c r="H58" s="3">
        <v>223</v>
      </c>
      <c r="I58" s="3">
        <v>31233</v>
      </c>
      <c r="J58" s="3">
        <v>58106</v>
      </c>
      <c r="K58" s="3">
        <v>291</v>
      </c>
      <c r="L58" s="1" t="s">
        <v>21</v>
      </c>
      <c r="M58" s="1" t="s">
        <v>22</v>
      </c>
    </row>
    <row r="59" spans="1:13" ht="15.75" customHeight="1">
      <c r="A59" s="1" t="s">
        <v>98</v>
      </c>
      <c r="B59" s="1" t="s">
        <v>31</v>
      </c>
      <c r="C59" s="4">
        <v>45490</v>
      </c>
      <c r="D59" s="1" t="s">
        <v>15</v>
      </c>
      <c r="E59" s="1" t="s">
        <v>41</v>
      </c>
      <c r="F59" s="3">
        <v>3135</v>
      </c>
      <c r="G59" s="3">
        <v>110</v>
      </c>
      <c r="H59" s="3">
        <v>215</v>
      </c>
      <c r="I59" s="3">
        <v>39192</v>
      </c>
      <c r="J59" s="3">
        <v>24744</v>
      </c>
      <c r="K59" s="3">
        <v>177</v>
      </c>
      <c r="L59" s="1" t="s">
        <v>33</v>
      </c>
      <c r="M59" s="1" t="s">
        <v>22</v>
      </c>
    </row>
    <row r="60" spans="1:13" ht="15.75" customHeight="1">
      <c r="A60" s="1" t="s">
        <v>99</v>
      </c>
      <c r="B60" s="1" t="s">
        <v>31</v>
      </c>
      <c r="C60" s="4">
        <v>45514</v>
      </c>
      <c r="D60" s="1" t="s">
        <v>15</v>
      </c>
      <c r="E60" s="1" t="s">
        <v>49</v>
      </c>
      <c r="F60" s="3">
        <v>1105</v>
      </c>
      <c r="G60" s="3">
        <v>181</v>
      </c>
      <c r="H60" s="3">
        <v>55</v>
      </c>
      <c r="I60" s="3">
        <v>53581</v>
      </c>
      <c r="J60" s="3">
        <v>74048</v>
      </c>
      <c r="K60" s="3">
        <v>220</v>
      </c>
      <c r="L60" s="1" t="s">
        <v>33</v>
      </c>
      <c r="M60" s="1" t="s">
        <v>22</v>
      </c>
    </row>
    <row r="61" spans="1:13" ht="15.75" customHeight="1">
      <c r="A61" s="1" t="s">
        <v>100</v>
      </c>
      <c r="B61" s="1" t="s">
        <v>31</v>
      </c>
      <c r="C61" s="4">
        <v>45398</v>
      </c>
      <c r="D61" s="1" t="s">
        <v>15</v>
      </c>
      <c r="E61" s="1" t="s">
        <v>16</v>
      </c>
      <c r="F61" s="3">
        <v>4674</v>
      </c>
      <c r="G61" s="3">
        <v>326</v>
      </c>
      <c r="H61" s="3">
        <v>62</v>
      </c>
      <c r="I61" s="3">
        <v>45503</v>
      </c>
      <c r="J61" s="3">
        <v>46814</v>
      </c>
      <c r="K61" s="3">
        <v>116</v>
      </c>
      <c r="L61" s="1" t="s">
        <v>33</v>
      </c>
      <c r="M61" s="1" t="s">
        <v>22</v>
      </c>
    </row>
    <row r="62" spans="1:13" ht="15.75" customHeight="1">
      <c r="A62" s="1" t="s">
        <v>101</v>
      </c>
      <c r="B62" s="1" t="s">
        <v>31</v>
      </c>
      <c r="C62" s="4">
        <v>45292</v>
      </c>
      <c r="D62" s="1" t="s">
        <v>57</v>
      </c>
      <c r="E62" s="1" t="s">
        <v>20</v>
      </c>
      <c r="F62" s="3">
        <v>3437</v>
      </c>
      <c r="G62" s="3">
        <v>129</v>
      </c>
      <c r="H62" s="3">
        <v>359</v>
      </c>
      <c r="I62" s="3">
        <v>44558</v>
      </c>
      <c r="J62" s="3">
        <v>30854</v>
      </c>
      <c r="K62" s="3">
        <v>171</v>
      </c>
      <c r="L62" s="1" t="s">
        <v>58</v>
      </c>
      <c r="M62" s="1" t="s">
        <v>59</v>
      </c>
    </row>
    <row r="63" spans="1:13" ht="15.75" customHeight="1">
      <c r="A63" s="1" t="s">
        <v>102</v>
      </c>
      <c r="B63" s="1" t="s">
        <v>24</v>
      </c>
      <c r="C63" s="4">
        <v>45599</v>
      </c>
      <c r="D63" s="1" t="s">
        <v>25</v>
      </c>
      <c r="E63" s="1" t="s">
        <v>29</v>
      </c>
      <c r="F63" s="3">
        <v>1959</v>
      </c>
      <c r="G63" s="3">
        <v>316</v>
      </c>
      <c r="H63" s="3">
        <v>82</v>
      </c>
      <c r="I63" s="3">
        <v>54036</v>
      </c>
      <c r="J63" s="3">
        <v>69015</v>
      </c>
      <c r="K63" s="3">
        <v>182</v>
      </c>
      <c r="L63" s="1" t="s">
        <v>27</v>
      </c>
      <c r="M63" s="1" t="s">
        <v>18</v>
      </c>
    </row>
    <row r="64" spans="1:13" ht="15.75" customHeight="1">
      <c r="A64" s="1" t="s">
        <v>103</v>
      </c>
      <c r="B64" s="1" t="s">
        <v>24</v>
      </c>
      <c r="C64" s="4">
        <v>45480</v>
      </c>
      <c r="D64" s="1" t="s">
        <v>15</v>
      </c>
      <c r="E64" s="1" t="s">
        <v>26</v>
      </c>
      <c r="F64" s="3">
        <v>1035</v>
      </c>
      <c r="G64" s="3">
        <v>137</v>
      </c>
      <c r="H64" s="3">
        <v>184</v>
      </c>
      <c r="I64" s="3">
        <v>37302</v>
      </c>
      <c r="J64" s="3">
        <v>68953</v>
      </c>
      <c r="K64" s="3">
        <v>237</v>
      </c>
      <c r="L64" s="1" t="s">
        <v>45</v>
      </c>
      <c r="M64" s="1" t="s">
        <v>22</v>
      </c>
    </row>
    <row r="65" spans="1:13" ht="15.75" customHeight="1">
      <c r="A65" s="1" t="s">
        <v>104</v>
      </c>
      <c r="B65" s="1" t="s">
        <v>24</v>
      </c>
      <c r="C65" s="4">
        <v>45679</v>
      </c>
      <c r="D65" s="1" t="s">
        <v>25</v>
      </c>
      <c r="E65" s="1" t="s">
        <v>26</v>
      </c>
      <c r="F65" s="3">
        <v>4478</v>
      </c>
      <c r="G65" s="3">
        <v>101</v>
      </c>
      <c r="H65" s="3">
        <v>121</v>
      </c>
      <c r="I65" s="3">
        <v>51035</v>
      </c>
      <c r="J65" s="3">
        <v>58207</v>
      </c>
      <c r="K65" s="3">
        <v>205</v>
      </c>
      <c r="L65" s="1" t="s">
        <v>27</v>
      </c>
      <c r="M65" s="1" t="s">
        <v>18</v>
      </c>
    </row>
    <row r="66" spans="1:13" ht="15.75" customHeight="1">
      <c r="A66" s="1" t="s">
        <v>105</v>
      </c>
      <c r="B66" s="1" t="s">
        <v>31</v>
      </c>
      <c r="C66" s="4">
        <v>45438</v>
      </c>
      <c r="D66" s="1" t="s">
        <v>15</v>
      </c>
      <c r="E66" s="1" t="s">
        <v>49</v>
      </c>
      <c r="F66" s="3">
        <v>1488</v>
      </c>
      <c r="G66" s="3">
        <v>327</v>
      </c>
      <c r="H66" s="3">
        <v>110</v>
      </c>
      <c r="I66" s="3">
        <v>53805</v>
      </c>
      <c r="J66" s="3">
        <v>30239</v>
      </c>
      <c r="K66" s="3">
        <v>109</v>
      </c>
      <c r="L66" s="1" t="s">
        <v>33</v>
      </c>
      <c r="M66" s="1" t="s">
        <v>22</v>
      </c>
    </row>
    <row r="67" spans="1:13" ht="15.75" customHeight="1">
      <c r="A67" s="1" t="s">
        <v>106</v>
      </c>
      <c r="B67" s="1" t="s">
        <v>14</v>
      </c>
      <c r="C67" s="4">
        <v>45763</v>
      </c>
      <c r="D67" s="1" t="s">
        <v>15</v>
      </c>
      <c r="E67" s="1" t="s">
        <v>29</v>
      </c>
      <c r="F67" s="3">
        <v>4836</v>
      </c>
      <c r="G67" s="3">
        <v>331</v>
      </c>
      <c r="H67" s="3">
        <v>140</v>
      </c>
      <c r="I67" s="3">
        <v>58792</v>
      </c>
      <c r="J67" s="3">
        <v>47711</v>
      </c>
      <c r="K67" s="3">
        <v>227</v>
      </c>
      <c r="L67" s="1" t="s">
        <v>17</v>
      </c>
      <c r="M67" s="1" t="s">
        <v>18</v>
      </c>
    </row>
    <row r="68" spans="1:13" ht="15.75" customHeight="1">
      <c r="A68" s="1" t="s">
        <v>107</v>
      </c>
      <c r="B68" s="1" t="s">
        <v>31</v>
      </c>
      <c r="C68" s="4">
        <v>45384</v>
      </c>
      <c r="D68" s="1" t="s">
        <v>57</v>
      </c>
      <c r="E68" s="1" t="s">
        <v>51</v>
      </c>
      <c r="F68" s="3">
        <v>4563</v>
      </c>
      <c r="G68" s="3">
        <v>488</v>
      </c>
      <c r="H68" s="3">
        <v>356</v>
      </c>
      <c r="I68" s="3">
        <v>30619</v>
      </c>
      <c r="J68" s="3">
        <v>23328</v>
      </c>
      <c r="K68" s="3">
        <v>267</v>
      </c>
      <c r="L68" s="1" t="s">
        <v>58</v>
      </c>
      <c r="M68" s="1" t="s">
        <v>59</v>
      </c>
    </row>
    <row r="69" spans="1:13" ht="15.75" customHeight="1">
      <c r="A69" s="1" t="s">
        <v>108</v>
      </c>
      <c r="B69" s="1" t="s">
        <v>24</v>
      </c>
      <c r="C69" s="4">
        <v>45379</v>
      </c>
      <c r="D69" s="1" t="s">
        <v>15</v>
      </c>
      <c r="E69" s="1" t="s">
        <v>32</v>
      </c>
      <c r="F69" s="3">
        <v>3276</v>
      </c>
      <c r="G69" s="3">
        <v>421</v>
      </c>
      <c r="H69" s="3">
        <v>114</v>
      </c>
      <c r="I69" s="3">
        <v>20580</v>
      </c>
      <c r="J69" s="3">
        <v>30324</v>
      </c>
      <c r="K69" s="3">
        <v>221</v>
      </c>
      <c r="L69" s="1" t="s">
        <v>45</v>
      </c>
      <c r="M69" s="1" t="s">
        <v>22</v>
      </c>
    </row>
    <row r="70" spans="1:13" ht="15.75" customHeight="1">
      <c r="A70" s="1" t="s">
        <v>109</v>
      </c>
      <c r="B70" s="1" t="s">
        <v>24</v>
      </c>
      <c r="C70" s="4">
        <v>45643</v>
      </c>
      <c r="D70" s="1" t="s">
        <v>25</v>
      </c>
      <c r="E70" s="1" t="s">
        <v>32</v>
      </c>
      <c r="F70" s="3">
        <v>1316</v>
      </c>
      <c r="G70" s="3">
        <v>472</v>
      </c>
      <c r="H70" s="3">
        <v>286</v>
      </c>
      <c r="I70" s="3">
        <v>44692</v>
      </c>
      <c r="J70" s="3">
        <v>53343</v>
      </c>
      <c r="K70" s="3">
        <v>227</v>
      </c>
      <c r="L70" s="1" t="s">
        <v>39</v>
      </c>
      <c r="M70" s="1" t="s">
        <v>18</v>
      </c>
    </row>
    <row r="71" spans="1:13" ht="15.75" customHeight="1">
      <c r="A71" s="1" t="s">
        <v>110</v>
      </c>
      <c r="B71" s="1" t="s">
        <v>24</v>
      </c>
      <c r="C71" s="4">
        <v>45662</v>
      </c>
      <c r="D71" s="1" t="s">
        <v>15</v>
      </c>
      <c r="E71" s="1" t="s">
        <v>29</v>
      </c>
      <c r="F71" s="3">
        <v>4811</v>
      </c>
      <c r="G71" s="3">
        <v>473</v>
      </c>
      <c r="H71" s="3">
        <v>254</v>
      </c>
      <c r="I71" s="3">
        <v>51964</v>
      </c>
      <c r="J71" s="3">
        <v>68795</v>
      </c>
      <c r="K71" s="3">
        <v>107</v>
      </c>
      <c r="L71" s="1" t="s">
        <v>42</v>
      </c>
      <c r="M71" s="1" t="s">
        <v>18</v>
      </c>
    </row>
    <row r="72" spans="1:13" ht="15.75" customHeight="1">
      <c r="A72" s="1" t="s">
        <v>111</v>
      </c>
      <c r="B72" s="1" t="s">
        <v>24</v>
      </c>
      <c r="C72" s="4">
        <v>45302</v>
      </c>
      <c r="D72" s="1" t="s">
        <v>15</v>
      </c>
      <c r="E72" s="1" t="s">
        <v>35</v>
      </c>
      <c r="F72" s="3">
        <v>4218</v>
      </c>
      <c r="G72" s="3">
        <v>247</v>
      </c>
      <c r="H72" s="3">
        <v>183</v>
      </c>
      <c r="I72" s="3">
        <v>28914</v>
      </c>
      <c r="J72" s="3">
        <v>18310</v>
      </c>
      <c r="K72" s="3">
        <v>135</v>
      </c>
      <c r="L72" s="1" t="s">
        <v>45</v>
      </c>
      <c r="M72" s="1" t="s">
        <v>22</v>
      </c>
    </row>
    <row r="73" spans="1:13" ht="15.75" customHeight="1">
      <c r="A73" s="1" t="s">
        <v>112</v>
      </c>
      <c r="B73" s="1" t="s">
        <v>14</v>
      </c>
      <c r="C73" s="4">
        <v>45576</v>
      </c>
      <c r="D73" s="1" t="s">
        <v>15</v>
      </c>
      <c r="E73" s="1" t="s">
        <v>49</v>
      </c>
      <c r="F73" s="3">
        <v>1360</v>
      </c>
      <c r="G73" s="3">
        <v>249</v>
      </c>
      <c r="H73" s="3">
        <v>52</v>
      </c>
      <c r="I73" s="3">
        <v>20368</v>
      </c>
      <c r="J73" s="3">
        <v>42152</v>
      </c>
      <c r="K73" s="3">
        <v>193</v>
      </c>
      <c r="L73" s="1" t="s">
        <v>21</v>
      </c>
      <c r="M73" s="1" t="s">
        <v>22</v>
      </c>
    </row>
    <row r="74" spans="1:13" ht="15.75" customHeight="1">
      <c r="A74" s="1" t="s">
        <v>113</v>
      </c>
      <c r="B74" s="1" t="s">
        <v>31</v>
      </c>
      <c r="C74" s="4">
        <v>45783</v>
      </c>
      <c r="D74" s="1" t="s">
        <v>57</v>
      </c>
      <c r="E74" s="1" t="s">
        <v>16</v>
      </c>
      <c r="F74" s="3">
        <v>1085</v>
      </c>
      <c r="G74" s="3">
        <v>496</v>
      </c>
      <c r="H74" s="3">
        <v>320</v>
      </c>
      <c r="I74" s="3">
        <v>36528</v>
      </c>
      <c r="J74" s="3">
        <v>38599</v>
      </c>
      <c r="K74" s="3">
        <v>270</v>
      </c>
      <c r="L74" s="1" t="s">
        <v>58</v>
      </c>
      <c r="M74" s="1" t="s">
        <v>59</v>
      </c>
    </row>
    <row r="75" spans="1:13" ht="15.75" customHeight="1">
      <c r="A75" s="1" t="s">
        <v>114</v>
      </c>
      <c r="B75" s="1" t="s">
        <v>24</v>
      </c>
      <c r="C75" s="4">
        <v>45431</v>
      </c>
      <c r="D75" s="1" t="s">
        <v>25</v>
      </c>
      <c r="E75" s="1" t="s">
        <v>37</v>
      </c>
      <c r="F75" s="3">
        <v>1763</v>
      </c>
      <c r="G75" s="3">
        <v>206</v>
      </c>
      <c r="H75" s="3">
        <v>187</v>
      </c>
      <c r="I75" s="3">
        <v>53342</v>
      </c>
      <c r="J75" s="3">
        <v>25095</v>
      </c>
      <c r="K75" s="3">
        <v>88</v>
      </c>
      <c r="L75" s="1" t="s">
        <v>39</v>
      </c>
      <c r="M75" s="1" t="s">
        <v>18</v>
      </c>
    </row>
    <row r="76" spans="1:13" ht="15.75" customHeight="1">
      <c r="A76" s="1" t="s">
        <v>115</v>
      </c>
      <c r="B76" s="1" t="s">
        <v>24</v>
      </c>
      <c r="C76" s="4">
        <v>45313</v>
      </c>
      <c r="D76" s="1" t="s">
        <v>25</v>
      </c>
      <c r="E76" s="1" t="s">
        <v>49</v>
      </c>
      <c r="F76" s="3">
        <v>1554</v>
      </c>
      <c r="G76" s="3">
        <v>455</v>
      </c>
      <c r="H76" s="3">
        <v>158</v>
      </c>
      <c r="I76" s="3">
        <v>41947</v>
      </c>
      <c r="J76" s="3">
        <v>48578</v>
      </c>
      <c r="K76" s="3">
        <v>101</v>
      </c>
      <c r="L76" s="1" t="s">
        <v>17</v>
      </c>
      <c r="M76" s="1" t="s">
        <v>18</v>
      </c>
    </row>
    <row r="77" spans="1:13" ht="15.75" customHeight="1">
      <c r="A77" s="1" t="s">
        <v>116</v>
      </c>
      <c r="B77" s="1" t="s">
        <v>14</v>
      </c>
      <c r="C77" s="4">
        <v>45487</v>
      </c>
      <c r="D77" s="1" t="s">
        <v>15</v>
      </c>
      <c r="E77" s="1" t="s">
        <v>29</v>
      </c>
      <c r="F77" s="3">
        <v>2464</v>
      </c>
      <c r="G77" s="3">
        <v>401</v>
      </c>
      <c r="H77" s="3">
        <v>78</v>
      </c>
      <c r="I77" s="3">
        <v>38665</v>
      </c>
      <c r="J77" s="3">
        <v>73593</v>
      </c>
      <c r="K77" s="3">
        <v>207</v>
      </c>
      <c r="L77" s="1" t="s">
        <v>21</v>
      </c>
      <c r="M77" s="1" t="s">
        <v>22</v>
      </c>
    </row>
    <row r="78" spans="1:13" ht="15.75" customHeight="1">
      <c r="A78" s="1" t="s">
        <v>117</v>
      </c>
      <c r="B78" s="1" t="s">
        <v>24</v>
      </c>
      <c r="C78" s="4">
        <v>45805</v>
      </c>
      <c r="D78" s="1" t="s">
        <v>15</v>
      </c>
      <c r="E78" s="1" t="s">
        <v>49</v>
      </c>
      <c r="F78" s="3">
        <v>2418</v>
      </c>
      <c r="G78" s="3">
        <v>161</v>
      </c>
      <c r="H78" s="3">
        <v>360</v>
      </c>
      <c r="I78" s="3">
        <v>30589</v>
      </c>
      <c r="J78" s="3">
        <v>41383</v>
      </c>
      <c r="K78" s="3">
        <v>88</v>
      </c>
      <c r="L78" s="1" t="s">
        <v>42</v>
      </c>
      <c r="M78" s="1" t="s">
        <v>18</v>
      </c>
    </row>
    <row r="79" spans="1:13" ht="15.75" customHeight="1">
      <c r="A79" s="1" t="s">
        <v>118</v>
      </c>
      <c r="B79" s="1" t="s">
        <v>24</v>
      </c>
      <c r="C79" s="4">
        <v>45678</v>
      </c>
      <c r="D79" s="1" t="s">
        <v>25</v>
      </c>
      <c r="E79" s="1" t="s">
        <v>16</v>
      </c>
      <c r="F79" s="3">
        <v>2494</v>
      </c>
      <c r="G79" s="3">
        <v>494</v>
      </c>
      <c r="H79" s="3">
        <v>55</v>
      </c>
      <c r="I79" s="3">
        <v>22580</v>
      </c>
      <c r="J79" s="3">
        <v>22214</v>
      </c>
      <c r="K79" s="3">
        <v>109</v>
      </c>
      <c r="L79" s="1" t="s">
        <v>27</v>
      </c>
      <c r="M79" s="1" t="s">
        <v>18</v>
      </c>
    </row>
    <row r="80" spans="1:13" ht="15.75" customHeight="1">
      <c r="A80" s="1" t="s">
        <v>119</v>
      </c>
      <c r="B80" s="1" t="s">
        <v>31</v>
      </c>
      <c r="C80" s="4">
        <v>45304</v>
      </c>
      <c r="D80" s="1" t="s">
        <v>57</v>
      </c>
      <c r="E80" s="1" t="s">
        <v>26</v>
      </c>
      <c r="F80" s="3">
        <v>4781</v>
      </c>
      <c r="G80" s="3">
        <v>191</v>
      </c>
      <c r="H80" s="3">
        <v>122</v>
      </c>
      <c r="I80" s="3">
        <v>35535</v>
      </c>
      <c r="J80" s="3">
        <v>50777</v>
      </c>
      <c r="K80" s="3">
        <v>128</v>
      </c>
      <c r="L80" s="1" t="s">
        <v>58</v>
      </c>
      <c r="M80" s="1" t="s">
        <v>59</v>
      </c>
    </row>
    <row r="81" spans="1:13" ht="15.75" customHeight="1">
      <c r="A81" s="1" t="s">
        <v>120</v>
      </c>
      <c r="B81" s="1" t="s">
        <v>14</v>
      </c>
      <c r="C81" s="4">
        <v>45825</v>
      </c>
      <c r="D81" s="1" t="s">
        <v>15</v>
      </c>
      <c r="E81" s="1" t="s">
        <v>32</v>
      </c>
      <c r="F81" s="3">
        <v>2284</v>
      </c>
      <c r="G81" s="3">
        <v>187</v>
      </c>
      <c r="H81" s="3">
        <v>260</v>
      </c>
      <c r="I81" s="3">
        <v>37400</v>
      </c>
      <c r="J81" s="3">
        <v>65014</v>
      </c>
      <c r="K81" s="3">
        <v>157</v>
      </c>
      <c r="L81" s="1" t="s">
        <v>17</v>
      </c>
      <c r="M81" s="1" t="s">
        <v>18</v>
      </c>
    </row>
    <row r="82" spans="1:13" ht="15.75" customHeight="1">
      <c r="A82" s="1" t="s">
        <v>121</v>
      </c>
      <c r="B82" s="1" t="s">
        <v>24</v>
      </c>
      <c r="C82" s="4">
        <v>45723</v>
      </c>
      <c r="D82" s="1" t="s">
        <v>15</v>
      </c>
      <c r="E82" s="1" t="s">
        <v>37</v>
      </c>
      <c r="F82" s="3">
        <v>4234</v>
      </c>
      <c r="G82" s="3">
        <v>486</v>
      </c>
      <c r="H82" s="3">
        <v>276</v>
      </c>
      <c r="I82" s="3">
        <v>56623</v>
      </c>
      <c r="J82" s="3">
        <v>41343</v>
      </c>
      <c r="K82" s="3">
        <v>184</v>
      </c>
      <c r="L82" s="1" t="s">
        <v>45</v>
      </c>
      <c r="M82" s="1" t="s">
        <v>22</v>
      </c>
    </row>
    <row r="83" spans="1:13" ht="15.75" customHeight="1">
      <c r="A83" s="1" t="s">
        <v>122</v>
      </c>
      <c r="B83" s="1" t="s">
        <v>14</v>
      </c>
      <c r="C83" s="4">
        <v>45530</v>
      </c>
      <c r="D83" s="1" t="s">
        <v>15</v>
      </c>
      <c r="E83" s="1" t="s">
        <v>51</v>
      </c>
      <c r="F83" s="3">
        <v>2102</v>
      </c>
      <c r="G83" s="3">
        <v>181</v>
      </c>
      <c r="H83" s="3">
        <v>306</v>
      </c>
      <c r="I83" s="3">
        <v>43650</v>
      </c>
      <c r="J83" s="3">
        <v>50079</v>
      </c>
      <c r="K83" s="3">
        <v>182</v>
      </c>
      <c r="L83" s="1" t="s">
        <v>21</v>
      </c>
      <c r="M83" s="1" t="s">
        <v>22</v>
      </c>
    </row>
    <row r="84" spans="1:13" ht="15.75" customHeight="1">
      <c r="A84" s="1" t="s">
        <v>123</v>
      </c>
      <c r="B84" s="1" t="s">
        <v>24</v>
      </c>
      <c r="C84" s="4">
        <v>45660</v>
      </c>
      <c r="D84" s="1" t="s">
        <v>25</v>
      </c>
      <c r="E84" s="1" t="s">
        <v>37</v>
      </c>
      <c r="F84" s="3">
        <v>4845</v>
      </c>
      <c r="G84" s="3">
        <v>158</v>
      </c>
      <c r="H84" s="3">
        <v>84</v>
      </c>
      <c r="I84" s="3">
        <v>34578</v>
      </c>
      <c r="J84" s="3">
        <v>51480</v>
      </c>
      <c r="K84" s="3">
        <v>180</v>
      </c>
      <c r="L84" s="1" t="s">
        <v>17</v>
      </c>
      <c r="M84" s="1" t="s">
        <v>18</v>
      </c>
    </row>
    <row r="85" spans="1:13" ht="15.75" customHeight="1">
      <c r="A85" s="1" t="s">
        <v>124</v>
      </c>
      <c r="B85" s="1" t="s">
        <v>24</v>
      </c>
      <c r="C85" s="4">
        <v>45507</v>
      </c>
      <c r="D85" s="1" t="s">
        <v>15</v>
      </c>
      <c r="E85" s="1" t="s">
        <v>51</v>
      </c>
      <c r="F85" s="3">
        <v>4247</v>
      </c>
      <c r="G85" s="3">
        <v>390</v>
      </c>
      <c r="H85" s="3">
        <v>213</v>
      </c>
      <c r="I85" s="3">
        <v>29785</v>
      </c>
      <c r="J85" s="3">
        <v>57768</v>
      </c>
      <c r="K85" s="3">
        <v>122</v>
      </c>
      <c r="L85" s="1" t="s">
        <v>42</v>
      </c>
      <c r="M85" s="1" t="s">
        <v>18</v>
      </c>
    </row>
    <row r="86" spans="1:13" ht="15.75" customHeight="1">
      <c r="A86" s="1" t="s">
        <v>125</v>
      </c>
      <c r="B86" s="1" t="s">
        <v>14</v>
      </c>
      <c r="C86" s="4">
        <v>45522</v>
      </c>
      <c r="D86" s="1" t="s">
        <v>15</v>
      </c>
      <c r="E86" s="1" t="s">
        <v>20</v>
      </c>
      <c r="F86" s="3">
        <v>2965</v>
      </c>
      <c r="G86" s="3">
        <v>328</v>
      </c>
      <c r="H86" s="3">
        <v>171</v>
      </c>
      <c r="I86" s="3">
        <v>57685</v>
      </c>
      <c r="J86" s="3">
        <v>67536</v>
      </c>
      <c r="K86" s="3">
        <v>264</v>
      </c>
      <c r="L86" s="1" t="s">
        <v>17</v>
      </c>
      <c r="M86" s="1" t="s">
        <v>18</v>
      </c>
    </row>
    <row r="87" spans="1:13" ht="15.75" customHeight="1">
      <c r="A87" s="1" t="s">
        <v>126</v>
      </c>
      <c r="B87" s="1" t="s">
        <v>24</v>
      </c>
      <c r="C87" s="4">
        <v>45791</v>
      </c>
      <c r="D87" s="1" t="s">
        <v>25</v>
      </c>
      <c r="E87" s="1" t="s">
        <v>29</v>
      </c>
      <c r="F87" s="3">
        <v>1371</v>
      </c>
      <c r="G87" s="3">
        <v>139</v>
      </c>
      <c r="H87" s="3">
        <v>96</v>
      </c>
      <c r="I87" s="3">
        <v>36140</v>
      </c>
      <c r="J87" s="3">
        <v>39395</v>
      </c>
      <c r="K87" s="3">
        <v>169</v>
      </c>
      <c r="L87" s="1" t="s">
        <v>17</v>
      </c>
      <c r="M87" s="1" t="s">
        <v>18</v>
      </c>
    </row>
    <row r="88" spans="1:13" ht="15.75" customHeight="1">
      <c r="A88" s="1" t="s">
        <v>127</v>
      </c>
      <c r="B88" s="1" t="s">
        <v>24</v>
      </c>
      <c r="C88" s="4">
        <v>45405</v>
      </c>
      <c r="D88" s="1" t="s">
        <v>25</v>
      </c>
      <c r="E88" s="1" t="s">
        <v>16</v>
      </c>
      <c r="F88" s="3">
        <v>2683</v>
      </c>
      <c r="G88" s="3">
        <v>496</v>
      </c>
      <c r="H88" s="3">
        <v>89</v>
      </c>
      <c r="I88" s="3">
        <v>53435</v>
      </c>
      <c r="J88" s="3">
        <v>30334</v>
      </c>
      <c r="K88" s="3">
        <v>160</v>
      </c>
      <c r="L88" s="1" t="s">
        <v>17</v>
      </c>
      <c r="M88" s="1" t="s">
        <v>18</v>
      </c>
    </row>
    <row r="89" spans="1:13" ht="15.75" customHeight="1">
      <c r="A89" s="1" t="s">
        <v>128</v>
      </c>
      <c r="B89" s="1" t="s">
        <v>24</v>
      </c>
      <c r="C89" s="4">
        <v>45705</v>
      </c>
      <c r="D89" s="1" t="s">
        <v>25</v>
      </c>
      <c r="E89" s="1" t="s">
        <v>35</v>
      </c>
      <c r="F89" s="3">
        <v>4796</v>
      </c>
      <c r="G89" s="3">
        <v>427</v>
      </c>
      <c r="H89" s="3">
        <v>339</v>
      </c>
      <c r="I89" s="3">
        <v>30752</v>
      </c>
      <c r="J89" s="3">
        <v>33870</v>
      </c>
      <c r="K89" s="3">
        <v>298</v>
      </c>
      <c r="L89" s="1" t="s">
        <v>17</v>
      </c>
      <c r="M89" s="1" t="s">
        <v>18</v>
      </c>
    </row>
    <row r="90" spans="1:13" ht="15.75" customHeight="1">
      <c r="A90" s="1" t="s">
        <v>129</v>
      </c>
      <c r="B90" s="1" t="s">
        <v>14</v>
      </c>
      <c r="C90" s="4">
        <v>45630</v>
      </c>
      <c r="D90" s="1" t="s">
        <v>15</v>
      </c>
      <c r="E90" s="1" t="s">
        <v>29</v>
      </c>
      <c r="F90" s="3">
        <v>2601</v>
      </c>
      <c r="G90" s="3">
        <v>336</v>
      </c>
      <c r="H90" s="3">
        <v>260</v>
      </c>
      <c r="I90" s="3">
        <v>32368</v>
      </c>
      <c r="J90" s="3">
        <v>49028</v>
      </c>
      <c r="K90" s="3">
        <v>120</v>
      </c>
      <c r="L90" s="1" t="s">
        <v>17</v>
      </c>
      <c r="M90" s="1" t="s">
        <v>18</v>
      </c>
    </row>
    <row r="91" spans="1:13" ht="15.75" customHeight="1">
      <c r="A91" s="1" t="s">
        <v>130</v>
      </c>
      <c r="B91" s="1" t="s">
        <v>24</v>
      </c>
      <c r="C91" s="4">
        <v>45495</v>
      </c>
      <c r="D91" s="1" t="s">
        <v>25</v>
      </c>
      <c r="E91" s="1" t="s">
        <v>29</v>
      </c>
      <c r="F91" s="3">
        <v>3336</v>
      </c>
      <c r="G91" s="3">
        <v>229</v>
      </c>
      <c r="H91" s="3">
        <v>337</v>
      </c>
      <c r="I91" s="3">
        <v>22117</v>
      </c>
      <c r="J91" s="3">
        <v>26205</v>
      </c>
      <c r="K91" s="3">
        <v>160</v>
      </c>
      <c r="L91" s="1" t="s">
        <v>27</v>
      </c>
      <c r="M91" s="1" t="s">
        <v>18</v>
      </c>
    </row>
    <row r="92" spans="1:13" ht="15.75" customHeight="1">
      <c r="A92" s="1" t="s">
        <v>131</v>
      </c>
      <c r="B92" s="1" t="s">
        <v>24</v>
      </c>
      <c r="C92" s="4">
        <v>45774</v>
      </c>
      <c r="D92" s="1" t="s">
        <v>15</v>
      </c>
      <c r="E92" s="1" t="s">
        <v>20</v>
      </c>
      <c r="F92" s="3">
        <v>1165</v>
      </c>
      <c r="G92" s="3">
        <v>294</v>
      </c>
      <c r="H92" s="3">
        <v>163</v>
      </c>
      <c r="I92" s="3">
        <v>20659</v>
      </c>
      <c r="J92" s="3">
        <v>45926</v>
      </c>
      <c r="K92" s="3">
        <v>111</v>
      </c>
      <c r="L92" s="1" t="s">
        <v>45</v>
      </c>
      <c r="M92" s="1" t="s">
        <v>22</v>
      </c>
    </row>
    <row r="93" spans="1:13" ht="15.75" customHeight="1">
      <c r="A93" s="1" t="s">
        <v>132</v>
      </c>
      <c r="B93" s="1" t="s">
        <v>31</v>
      </c>
      <c r="C93" s="4">
        <v>45376</v>
      </c>
      <c r="D93" s="1" t="s">
        <v>57</v>
      </c>
      <c r="E93" s="1" t="s">
        <v>20</v>
      </c>
      <c r="F93" s="3">
        <v>1948</v>
      </c>
      <c r="G93" s="3">
        <v>155</v>
      </c>
      <c r="H93" s="3">
        <v>315</v>
      </c>
      <c r="I93" s="3">
        <v>30321</v>
      </c>
      <c r="J93" s="3">
        <v>57121</v>
      </c>
      <c r="K93" s="3">
        <v>82</v>
      </c>
      <c r="L93" s="1" t="s">
        <v>58</v>
      </c>
      <c r="M93" s="1" t="s">
        <v>59</v>
      </c>
    </row>
    <row r="94" spans="1:13" ht="15.75" customHeight="1">
      <c r="A94" s="1" t="s">
        <v>133</v>
      </c>
      <c r="B94" s="1" t="s">
        <v>14</v>
      </c>
      <c r="C94" s="4">
        <v>45351</v>
      </c>
      <c r="D94" s="1" t="s">
        <v>15</v>
      </c>
      <c r="E94" s="1" t="s">
        <v>49</v>
      </c>
      <c r="F94" s="3">
        <v>1100</v>
      </c>
      <c r="G94" s="3">
        <v>229</v>
      </c>
      <c r="H94" s="3">
        <v>312</v>
      </c>
      <c r="I94" s="3">
        <v>25641</v>
      </c>
      <c r="J94" s="3">
        <v>34601</v>
      </c>
      <c r="K94" s="3">
        <v>169</v>
      </c>
      <c r="L94" s="1" t="s">
        <v>21</v>
      </c>
      <c r="M94" s="1" t="s">
        <v>22</v>
      </c>
    </row>
    <row r="95" spans="1:13" ht="15.75" customHeight="1">
      <c r="A95" s="1" t="s">
        <v>134</v>
      </c>
      <c r="B95" s="1" t="s">
        <v>24</v>
      </c>
      <c r="C95" s="4">
        <v>45609</v>
      </c>
      <c r="D95" s="1" t="s">
        <v>25</v>
      </c>
      <c r="E95" s="1" t="s">
        <v>41</v>
      </c>
      <c r="F95" s="3">
        <v>4628</v>
      </c>
      <c r="G95" s="3">
        <v>257</v>
      </c>
      <c r="H95" s="3">
        <v>397</v>
      </c>
      <c r="I95" s="3">
        <v>36686</v>
      </c>
      <c r="J95" s="3">
        <v>54683</v>
      </c>
      <c r="K95" s="3">
        <v>98</v>
      </c>
      <c r="L95" s="1" t="s">
        <v>17</v>
      </c>
      <c r="M95" s="1" t="s">
        <v>18</v>
      </c>
    </row>
    <row r="96" spans="1:13" ht="15.75" customHeight="1">
      <c r="A96" s="1" t="s">
        <v>135</v>
      </c>
      <c r="B96" s="1" t="s">
        <v>14</v>
      </c>
      <c r="C96" s="4">
        <v>45373</v>
      </c>
      <c r="D96" s="1" t="s">
        <v>25</v>
      </c>
      <c r="E96" s="1" t="s">
        <v>16</v>
      </c>
      <c r="F96" s="3">
        <v>2319</v>
      </c>
      <c r="G96" s="3">
        <v>484</v>
      </c>
      <c r="H96" s="3">
        <v>193</v>
      </c>
      <c r="I96" s="3">
        <v>21202</v>
      </c>
      <c r="J96" s="3">
        <v>18091</v>
      </c>
      <c r="K96" s="3">
        <v>241</v>
      </c>
      <c r="L96" s="1" t="s">
        <v>42</v>
      </c>
      <c r="M96" s="1" t="s">
        <v>55</v>
      </c>
    </row>
    <row r="97" spans="1:13" ht="15.75" customHeight="1">
      <c r="A97" s="1" t="s">
        <v>136</v>
      </c>
      <c r="B97" s="1" t="s">
        <v>24</v>
      </c>
      <c r="C97" s="4">
        <v>45367</v>
      </c>
      <c r="D97" s="1" t="s">
        <v>25</v>
      </c>
      <c r="E97" s="1" t="s">
        <v>29</v>
      </c>
      <c r="F97" s="3">
        <v>2895</v>
      </c>
      <c r="G97" s="3">
        <v>292</v>
      </c>
      <c r="H97" s="3">
        <v>90</v>
      </c>
      <c r="I97" s="3">
        <v>24223</v>
      </c>
      <c r="J97" s="3">
        <v>54626</v>
      </c>
      <c r="K97" s="3">
        <v>114</v>
      </c>
      <c r="L97" s="1" t="s">
        <v>17</v>
      </c>
      <c r="M97" s="1" t="s">
        <v>18</v>
      </c>
    </row>
    <row r="98" spans="1:13" ht="15.75" customHeight="1">
      <c r="A98" s="1" t="s">
        <v>137</v>
      </c>
      <c r="B98" s="1" t="s">
        <v>14</v>
      </c>
      <c r="C98" s="4">
        <v>45317</v>
      </c>
      <c r="D98" s="1" t="s">
        <v>15</v>
      </c>
      <c r="E98" s="1" t="s">
        <v>35</v>
      </c>
      <c r="F98" s="3">
        <v>3878</v>
      </c>
      <c r="G98" s="3">
        <v>431</v>
      </c>
      <c r="H98" s="3">
        <v>97</v>
      </c>
      <c r="I98" s="3">
        <v>41763</v>
      </c>
      <c r="J98" s="3">
        <v>29729</v>
      </c>
      <c r="K98" s="3">
        <v>191</v>
      </c>
      <c r="L98" s="1" t="s">
        <v>21</v>
      </c>
      <c r="M98" s="1" t="s">
        <v>22</v>
      </c>
    </row>
    <row r="99" spans="1:13" ht="15.75" customHeight="1">
      <c r="A99" s="1" t="s">
        <v>138</v>
      </c>
      <c r="B99" s="1" t="s">
        <v>24</v>
      </c>
      <c r="C99" s="4">
        <v>45366</v>
      </c>
      <c r="D99" s="1" t="s">
        <v>25</v>
      </c>
      <c r="E99" s="1" t="s">
        <v>37</v>
      </c>
      <c r="F99" s="3">
        <v>4969</v>
      </c>
      <c r="G99" s="3">
        <v>433</v>
      </c>
      <c r="H99" s="3">
        <v>237</v>
      </c>
      <c r="I99" s="3">
        <v>59552</v>
      </c>
      <c r="J99" s="3">
        <v>23885</v>
      </c>
      <c r="K99" s="3">
        <v>157</v>
      </c>
      <c r="L99" s="1" t="s">
        <v>39</v>
      </c>
      <c r="M99" s="1" t="s">
        <v>18</v>
      </c>
    </row>
    <row r="100" spans="1:13" ht="15.75" customHeight="1">
      <c r="A100" s="1" t="s">
        <v>139</v>
      </c>
      <c r="B100" s="1" t="s">
        <v>24</v>
      </c>
      <c r="C100" s="4">
        <v>45580</v>
      </c>
      <c r="D100" s="1" t="s">
        <v>15</v>
      </c>
      <c r="E100" s="1" t="s">
        <v>29</v>
      </c>
      <c r="F100" s="3">
        <v>1984</v>
      </c>
      <c r="G100" s="3">
        <v>481</v>
      </c>
      <c r="H100" s="3">
        <v>356</v>
      </c>
      <c r="I100" s="3">
        <v>40681</v>
      </c>
      <c r="J100" s="3">
        <v>63111</v>
      </c>
      <c r="K100" s="3">
        <v>258</v>
      </c>
      <c r="L100" s="1" t="s">
        <v>42</v>
      </c>
      <c r="M100" s="1" t="s">
        <v>18</v>
      </c>
    </row>
    <row r="101" spans="1:13" ht="15.75" customHeight="1">
      <c r="A101" s="1" t="s">
        <v>140</v>
      </c>
      <c r="B101" s="1" t="s">
        <v>14</v>
      </c>
      <c r="C101" s="4">
        <v>45494</v>
      </c>
      <c r="D101" s="1" t="s">
        <v>15</v>
      </c>
      <c r="E101" s="1" t="s">
        <v>16</v>
      </c>
      <c r="F101" s="3">
        <v>3004</v>
      </c>
      <c r="G101" s="3">
        <v>415</v>
      </c>
      <c r="H101" s="3">
        <v>218</v>
      </c>
      <c r="I101" s="3">
        <v>36090</v>
      </c>
      <c r="J101" s="3">
        <v>37073</v>
      </c>
      <c r="K101" s="3">
        <v>181</v>
      </c>
      <c r="L101" s="1" t="s">
        <v>21</v>
      </c>
      <c r="M101" s="1" t="s">
        <v>22</v>
      </c>
    </row>
    <row r="102" spans="1:13" ht="15.75" customHeight="1">
      <c r="A102" s="1" t="s">
        <v>141</v>
      </c>
      <c r="B102" s="1" t="s">
        <v>24</v>
      </c>
      <c r="C102" s="4">
        <v>45577</v>
      </c>
      <c r="D102" s="1" t="s">
        <v>15</v>
      </c>
      <c r="E102" s="1" t="s">
        <v>37</v>
      </c>
      <c r="F102" s="3">
        <v>3169</v>
      </c>
      <c r="G102" s="3">
        <v>386</v>
      </c>
      <c r="H102" s="3">
        <v>175</v>
      </c>
      <c r="I102" s="3">
        <v>45012</v>
      </c>
      <c r="J102" s="3">
        <v>38508</v>
      </c>
      <c r="K102" s="3">
        <v>218</v>
      </c>
      <c r="L102" s="1" t="s">
        <v>42</v>
      </c>
      <c r="M102" s="1" t="s">
        <v>18</v>
      </c>
    </row>
    <row r="103" spans="1:13" ht="15.75" customHeight="1">
      <c r="A103" s="1" t="s">
        <v>142</v>
      </c>
      <c r="B103" s="1" t="s">
        <v>24</v>
      </c>
      <c r="C103" s="4">
        <v>45591</v>
      </c>
      <c r="D103" s="1" t="s">
        <v>15</v>
      </c>
      <c r="E103" s="1" t="s">
        <v>16</v>
      </c>
      <c r="F103" s="3">
        <v>3036</v>
      </c>
      <c r="G103" s="3">
        <v>293</v>
      </c>
      <c r="H103" s="3">
        <v>115</v>
      </c>
      <c r="I103" s="3">
        <v>23776</v>
      </c>
      <c r="J103" s="3">
        <v>46386</v>
      </c>
      <c r="K103" s="3">
        <v>282</v>
      </c>
      <c r="L103" s="1" t="s">
        <v>42</v>
      </c>
      <c r="M103" s="1" t="s">
        <v>18</v>
      </c>
    </row>
    <row r="104" spans="1:13" ht="15.75" customHeight="1">
      <c r="A104" s="1" t="s">
        <v>143</v>
      </c>
      <c r="B104" s="1" t="s">
        <v>14</v>
      </c>
      <c r="C104" s="4">
        <v>45336</v>
      </c>
      <c r="D104" s="1" t="s">
        <v>15</v>
      </c>
      <c r="E104" s="1" t="s">
        <v>32</v>
      </c>
      <c r="F104" s="3">
        <v>1830</v>
      </c>
      <c r="G104" s="3">
        <v>112</v>
      </c>
      <c r="H104" s="3">
        <v>181</v>
      </c>
      <c r="I104" s="3">
        <v>31870</v>
      </c>
      <c r="J104" s="3">
        <v>55742</v>
      </c>
      <c r="K104" s="3">
        <v>263</v>
      </c>
      <c r="L104" s="1" t="s">
        <v>17</v>
      </c>
      <c r="M104" s="1" t="s">
        <v>18</v>
      </c>
    </row>
    <row r="105" spans="1:13" ht="15.75" customHeight="1">
      <c r="A105" s="1" t="s">
        <v>144</v>
      </c>
      <c r="B105" s="1" t="s">
        <v>24</v>
      </c>
      <c r="C105" s="4">
        <v>45413</v>
      </c>
      <c r="D105" s="1" t="s">
        <v>25</v>
      </c>
      <c r="E105" s="1" t="s">
        <v>35</v>
      </c>
      <c r="F105" s="3">
        <v>2587</v>
      </c>
      <c r="G105" s="3">
        <v>447</v>
      </c>
      <c r="H105" s="3">
        <v>183</v>
      </c>
      <c r="I105" s="3">
        <v>36266</v>
      </c>
      <c r="J105" s="3">
        <v>32877</v>
      </c>
      <c r="K105" s="3">
        <v>132</v>
      </c>
      <c r="L105" s="1" t="s">
        <v>39</v>
      </c>
      <c r="M105" s="1" t="s">
        <v>18</v>
      </c>
    </row>
    <row r="106" spans="1:13" ht="15.75" customHeight="1">
      <c r="A106" s="1" t="s">
        <v>145</v>
      </c>
      <c r="B106" s="1" t="s">
        <v>24</v>
      </c>
      <c r="C106" s="4">
        <v>45553</v>
      </c>
      <c r="D106" s="1" t="s">
        <v>15</v>
      </c>
      <c r="E106" s="1" t="s">
        <v>16</v>
      </c>
      <c r="F106" s="3">
        <v>2878</v>
      </c>
      <c r="G106" s="3">
        <v>265</v>
      </c>
      <c r="H106" s="3">
        <v>91</v>
      </c>
      <c r="I106" s="3">
        <v>52090</v>
      </c>
      <c r="J106" s="3">
        <v>28924</v>
      </c>
      <c r="K106" s="3">
        <v>133</v>
      </c>
      <c r="L106" s="1" t="s">
        <v>42</v>
      </c>
      <c r="M106" s="1" t="s">
        <v>18</v>
      </c>
    </row>
    <row r="107" spans="1:13" ht="15.75" customHeight="1">
      <c r="A107" s="1" t="s">
        <v>146</v>
      </c>
      <c r="B107" s="1" t="s">
        <v>24</v>
      </c>
      <c r="C107" s="4">
        <v>45677</v>
      </c>
      <c r="D107" s="1" t="s">
        <v>25</v>
      </c>
      <c r="E107" s="1" t="s">
        <v>26</v>
      </c>
      <c r="F107" s="3">
        <v>4619</v>
      </c>
      <c r="G107" s="3">
        <v>272</v>
      </c>
      <c r="H107" s="3">
        <v>57</v>
      </c>
      <c r="I107" s="3">
        <v>21334</v>
      </c>
      <c r="J107" s="3">
        <v>46292</v>
      </c>
      <c r="K107" s="3">
        <v>91</v>
      </c>
      <c r="L107" s="1" t="s">
        <v>17</v>
      </c>
      <c r="M107" s="1" t="s">
        <v>18</v>
      </c>
    </row>
    <row r="108" spans="1:13" ht="15.75" customHeight="1">
      <c r="A108" s="1" t="s">
        <v>147</v>
      </c>
      <c r="B108" s="1" t="s">
        <v>24</v>
      </c>
      <c r="C108" s="4">
        <v>45670</v>
      </c>
      <c r="D108" s="1" t="s">
        <v>15</v>
      </c>
      <c r="E108" s="1" t="s">
        <v>32</v>
      </c>
      <c r="F108" s="3">
        <v>4090</v>
      </c>
      <c r="G108" s="3">
        <v>209</v>
      </c>
      <c r="H108" s="3">
        <v>278</v>
      </c>
      <c r="I108" s="3">
        <v>52853</v>
      </c>
      <c r="J108" s="3">
        <v>57084</v>
      </c>
      <c r="K108" s="3">
        <v>102</v>
      </c>
      <c r="L108" s="1" t="s">
        <v>45</v>
      </c>
      <c r="M108" s="1" t="s">
        <v>22</v>
      </c>
    </row>
    <row r="109" spans="1:13" ht="15.75" customHeight="1">
      <c r="A109" s="1" t="s">
        <v>148</v>
      </c>
      <c r="B109" s="1" t="s">
        <v>31</v>
      </c>
      <c r="C109" s="4">
        <v>45542</v>
      </c>
      <c r="D109" s="1" t="s">
        <v>57</v>
      </c>
      <c r="E109" s="1" t="s">
        <v>32</v>
      </c>
      <c r="F109" s="3">
        <v>3882</v>
      </c>
      <c r="G109" s="3">
        <v>342</v>
      </c>
      <c r="H109" s="3">
        <v>374</v>
      </c>
      <c r="I109" s="3">
        <v>41991</v>
      </c>
      <c r="J109" s="3">
        <v>48554</v>
      </c>
      <c r="K109" s="3">
        <v>118</v>
      </c>
      <c r="L109" s="1" t="s">
        <v>58</v>
      </c>
      <c r="M109" s="1" t="s">
        <v>59</v>
      </c>
    </row>
    <row r="110" spans="1:13" ht="15.75" customHeight="1">
      <c r="A110" s="1" t="s">
        <v>149</v>
      </c>
      <c r="B110" s="1" t="s">
        <v>14</v>
      </c>
      <c r="C110" s="4">
        <v>45617</v>
      </c>
      <c r="D110" s="1" t="s">
        <v>15</v>
      </c>
      <c r="E110" s="1" t="s">
        <v>32</v>
      </c>
      <c r="F110" s="3">
        <v>4581</v>
      </c>
      <c r="G110" s="3">
        <v>181</v>
      </c>
      <c r="H110" s="3">
        <v>112</v>
      </c>
      <c r="I110" s="3">
        <v>35221</v>
      </c>
      <c r="J110" s="3">
        <v>28797</v>
      </c>
      <c r="K110" s="3">
        <v>164</v>
      </c>
      <c r="L110" s="1" t="s">
        <v>17</v>
      </c>
      <c r="M110" s="1" t="s">
        <v>18</v>
      </c>
    </row>
    <row r="111" spans="1:13" ht="15.75" customHeight="1">
      <c r="A111" s="1" t="s">
        <v>150</v>
      </c>
      <c r="B111" s="1" t="s">
        <v>14</v>
      </c>
      <c r="C111" s="4">
        <v>45469</v>
      </c>
      <c r="D111" s="1" t="s">
        <v>15</v>
      </c>
      <c r="E111" s="1" t="s">
        <v>26</v>
      </c>
      <c r="F111" s="3">
        <v>3253</v>
      </c>
      <c r="G111" s="3">
        <v>483</v>
      </c>
      <c r="H111" s="3">
        <v>336</v>
      </c>
      <c r="I111" s="3">
        <v>25397</v>
      </c>
      <c r="J111" s="3">
        <v>51485</v>
      </c>
      <c r="K111" s="3">
        <v>131</v>
      </c>
      <c r="L111" s="1" t="s">
        <v>21</v>
      </c>
      <c r="M111" s="1" t="s">
        <v>22</v>
      </c>
    </row>
    <row r="112" spans="1:13" ht="15.75" customHeight="1">
      <c r="A112" s="1" t="s">
        <v>151</v>
      </c>
      <c r="B112" s="1" t="s">
        <v>31</v>
      </c>
      <c r="C112" s="4">
        <v>45493</v>
      </c>
      <c r="D112" s="1" t="s">
        <v>57</v>
      </c>
      <c r="E112" s="1" t="s">
        <v>32</v>
      </c>
      <c r="F112" s="3">
        <v>4955</v>
      </c>
      <c r="G112" s="3">
        <v>299</v>
      </c>
      <c r="H112" s="3">
        <v>345</v>
      </c>
      <c r="I112" s="3">
        <v>33644</v>
      </c>
      <c r="J112" s="3">
        <v>43547</v>
      </c>
      <c r="K112" s="3">
        <v>194</v>
      </c>
      <c r="L112" s="1" t="s">
        <v>58</v>
      </c>
      <c r="M112" s="1" t="s">
        <v>59</v>
      </c>
    </row>
    <row r="113" spans="1:13" ht="15.75" customHeight="1">
      <c r="A113" s="1" t="s">
        <v>152</v>
      </c>
      <c r="B113" s="1" t="s">
        <v>14</v>
      </c>
      <c r="C113" s="4">
        <v>45704</v>
      </c>
      <c r="D113" s="1" t="s">
        <v>15</v>
      </c>
      <c r="E113" s="1" t="s">
        <v>51</v>
      </c>
      <c r="F113" s="3">
        <v>1333</v>
      </c>
      <c r="G113" s="3">
        <v>286</v>
      </c>
      <c r="H113" s="3">
        <v>298</v>
      </c>
      <c r="I113" s="3">
        <v>36174</v>
      </c>
      <c r="J113" s="3">
        <v>34517</v>
      </c>
      <c r="K113" s="3">
        <v>170</v>
      </c>
      <c r="L113" s="1" t="s">
        <v>17</v>
      </c>
      <c r="M113" s="1" t="s">
        <v>18</v>
      </c>
    </row>
    <row r="114" spans="1:13" ht="15.75" customHeight="1">
      <c r="A114" s="1" t="s">
        <v>153</v>
      </c>
      <c r="B114" s="1" t="s">
        <v>14</v>
      </c>
      <c r="C114" s="4">
        <v>45544</v>
      </c>
      <c r="D114" s="1" t="s">
        <v>15</v>
      </c>
      <c r="E114" s="1" t="s">
        <v>26</v>
      </c>
      <c r="F114" s="3">
        <v>1616</v>
      </c>
      <c r="G114" s="3">
        <v>360</v>
      </c>
      <c r="H114" s="3">
        <v>180</v>
      </c>
      <c r="I114" s="3">
        <v>54342</v>
      </c>
      <c r="J114" s="3">
        <v>18796</v>
      </c>
      <c r="K114" s="3">
        <v>282</v>
      </c>
      <c r="L114" s="1" t="s">
        <v>17</v>
      </c>
      <c r="M114" s="1" t="s">
        <v>18</v>
      </c>
    </row>
    <row r="115" spans="1:13" ht="15.75" customHeight="1">
      <c r="A115" s="1" t="s">
        <v>154</v>
      </c>
      <c r="B115" s="1" t="s">
        <v>24</v>
      </c>
      <c r="C115" s="4">
        <v>45489</v>
      </c>
      <c r="D115" s="1" t="s">
        <v>15</v>
      </c>
      <c r="E115" s="1" t="s">
        <v>41</v>
      </c>
      <c r="F115" s="3">
        <v>1803</v>
      </c>
      <c r="G115" s="3">
        <v>273</v>
      </c>
      <c r="H115" s="3">
        <v>287</v>
      </c>
      <c r="I115" s="3">
        <v>46176</v>
      </c>
      <c r="J115" s="3">
        <v>25488</v>
      </c>
      <c r="K115" s="3">
        <v>141</v>
      </c>
      <c r="L115" s="1" t="s">
        <v>42</v>
      </c>
      <c r="M115" s="1" t="s">
        <v>18</v>
      </c>
    </row>
    <row r="116" spans="1:13" ht="15.75" customHeight="1">
      <c r="A116" s="1" t="s">
        <v>155</v>
      </c>
      <c r="B116" s="1" t="s">
        <v>14</v>
      </c>
      <c r="C116" s="4">
        <v>45762</v>
      </c>
      <c r="D116" s="1" t="s">
        <v>15</v>
      </c>
      <c r="E116" s="1" t="s">
        <v>20</v>
      </c>
      <c r="F116" s="3">
        <v>4177</v>
      </c>
      <c r="G116" s="3">
        <v>489</v>
      </c>
      <c r="H116" s="3">
        <v>331</v>
      </c>
      <c r="I116" s="3">
        <v>57451</v>
      </c>
      <c r="J116" s="3">
        <v>73793</v>
      </c>
      <c r="K116" s="3">
        <v>251</v>
      </c>
      <c r="L116" s="1" t="s">
        <v>21</v>
      </c>
      <c r="M116" s="1" t="s">
        <v>22</v>
      </c>
    </row>
    <row r="117" spans="1:13" ht="15.75" customHeight="1">
      <c r="A117" s="1" t="s">
        <v>156</v>
      </c>
      <c r="B117" s="1" t="s">
        <v>14</v>
      </c>
      <c r="C117" s="4">
        <v>45781</v>
      </c>
      <c r="D117" s="1" t="s">
        <v>25</v>
      </c>
      <c r="E117" s="1" t="s">
        <v>26</v>
      </c>
      <c r="F117" s="3">
        <v>1311</v>
      </c>
      <c r="G117" s="3">
        <v>181</v>
      </c>
      <c r="H117" s="3">
        <v>361</v>
      </c>
      <c r="I117" s="3">
        <v>37148</v>
      </c>
      <c r="J117" s="3">
        <v>44875</v>
      </c>
      <c r="K117" s="3">
        <v>245</v>
      </c>
      <c r="L117" s="1" t="s">
        <v>42</v>
      </c>
      <c r="M117" s="1" t="s">
        <v>55</v>
      </c>
    </row>
    <row r="118" spans="1:13" ht="15.75" customHeight="1">
      <c r="A118" s="1" t="s">
        <v>157</v>
      </c>
      <c r="B118" s="1" t="s">
        <v>14</v>
      </c>
      <c r="C118" s="4">
        <v>45340</v>
      </c>
      <c r="D118" s="1" t="s">
        <v>25</v>
      </c>
      <c r="E118" s="1" t="s">
        <v>49</v>
      </c>
      <c r="F118" s="3">
        <v>1516</v>
      </c>
      <c r="G118" s="3">
        <v>215</v>
      </c>
      <c r="H118" s="3">
        <v>332</v>
      </c>
      <c r="I118" s="3">
        <v>58981</v>
      </c>
      <c r="J118" s="3">
        <v>36118</v>
      </c>
      <c r="K118" s="3">
        <v>211</v>
      </c>
      <c r="L118" s="1" t="s">
        <v>42</v>
      </c>
      <c r="M118" s="1" t="s">
        <v>55</v>
      </c>
    </row>
    <row r="119" spans="1:13" ht="15.75" customHeight="1">
      <c r="A119" s="1" t="s">
        <v>158</v>
      </c>
      <c r="B119" s="1" t="s">
        <v>24</v>
      </c>
      <c r="C119" s="4">
        <v>45428</v>
      </c>
      <c r="D119" s="1" t="s">
        <v>25</v>
      </c>
      <c r="E119" s="1" t="s">
        <v>32</v>
      </c>
      <c r="F119" s="3">
        <v>2023</v>
      </c>
      <c r="G119" s="3">
        <v>124</v>
      </c>
      <c r="H119" s="3">
        <v>99</v>
      </c>
      <c r="I119" s="3">
        <v>54524</v>
      </c>
      <c r="J119" s="3">
        <v>34790</v>
      </c>
      <c r="K119" s="3">
        <v>195</v>
      </c>
      <c r="L119" s="1" t="s">
        <v>39</v>
      </c>
      <c r="M119" s="1" t="s">
        <v>18</v>
      </c>
    </row>
    <row r="120" spans="1:13" ht="15.75" customHeight="1">
      <c r="A120" s="1" t="s">
        <v>159</v>
      </c>
      <c r="B120" s="1" t="s">
        <v>24</v>
      </c>
      <c r="C120" s="4">
        <v>45806</v>
      </c>
      <c r="D120" s="1" t="s">
        <v>25</v>
      </c>
      <c r="E120" s="1" t="s">
        <v>32</v>
      </c>
      <c r="F120" s="3">
        <v>2134</v>
      </c>
      <c r="G120" s="3">
        <v>322</v>
      </c>
      <c r="H120" s="3">
        <v>114</v>
      </c>
      <c r="I120" s="3">
        <v>44338</v>
      </c>
      <c r="J120" s="3">
        <v>52165</v>
      </c>
      <c r="K120" s="3">
        <v>176</v>
      </c>
      <c r="L120" s="1" t="s">
        <v>27</v>
      </c>
      <c r="M120" s="1" t="s">
        <v>18</v>
      </c>
    </row>
    <row r="121" spans="1:13" ht="15.75" customHeight="1">
      <c r="A121" s="1" t="s">
        <v>160</v>
      </c>
      <c r="B121" s="1" t="s">
        <v>14</v>
      </c>
      <c r="C121" s="4">
        <v>45674</v>
      </c>
      <c r="D121" s="1" t="s">
        <v>15</v>
      </c>
      <c r="E121" s="1" t="s">
        <v>41</v>
      </c>
      <c r="F121" s="3">
        <v>2266</v>
      </c>
      <c r="G121" s="3">
        <v>126</v>
      </c>
      <c r="H121" s="3">
        <v>140</v>
      </c>
      <c r="I121" s="3">
        <v>53759</v>
      </c>
      <c r="J121" s="3">
        <v>46834</v>
      </c>
      <c r="K121" s="3">
        <v>277</v>
      </c>
      <c r="L121" s="1" t="s">
        <v>21</v>
      </c>
      <c r="M121" s="1" t="s">
        <v>22</v>
      </c>
    </row>
    <row r="122" spans="1:13" ht="15.75" customHeight="1">
      <c r="A122" s="1" t="s">
        <v>161</v>
      </c>
      <c r="B122" s="1" t="s">
        <v>14</v>
      </c>
      <c r="C122" s="4">
        <v>45777</v>
      </c>
      <c r="D122" s="1" t="s">
        <v>25</v>
      </c>
      <c r="E122" s="1" t="s">
        <v>26</v>
      </c>
      <c r="F122" s="3">
        <v>3916</v>
      </c>
      <c r="G122" s="3">
        <v>459</v>
      </c>
      <c r="H122" s="3">
        <v>229</v>
      </c>
      <c r="I122" s="3">
        <v>48989</v>
      </c>
      <c r="J122" s="3">
        <v>39768</v>
      </c>
      <c r="K122" s="3">
        <v>200</v>
      </c>
      <c r="L122" s="1" t="s">
        <v>42</v>
      </c>
      <c r="M122" s="1" t="s">
        <v>55</v>
      </c>
    </row>
    <row r="123" spans="1:13" ht="15.75" customHeight="1">
      <c r="A123" s="1" t="s">
        <v>162</v>
      </c>
      <c r="B123" s="1" t="s">
        <v>24</v>
      </c>
      <c r="C123" s="4">
        <v>45346</v>
      </c>
      <c r="D123" s="1" t="s">
        <v>25</v>
      </c>
      <c r="E123" s="1" t="s">
        <v>32</v>
      </c>
      <c r="F123" s="3">
        <v>1022</v>
      </c>
      <c r="G123" s="3">
        <v>463</v>
      </c>
      <c r="H123" s="3">
        <v>360</v>
      </c>
      <c r="I123" s="3">
        <v>51468</v>
      </c>
      <c r="J123" s="3">
        <v>24279</v>
      </c>
      <c r="K123" s="3">
        <v>230</v>
      </c>
      <c r="L123" s="1" t="s">
        <v>39</v>
      </c>
      <c r="M123" s="1" t="s">
        <v>18</v>
      </c>
    </row>
    <row r="124" spans="1:13" ht="15.75" customHeight="1">
      <c r="A124" s="1" t="s">
        <v>163</v>
      </c>
      <c r="B124" s="1" t="s">
        <v>31</v>
      </c>
      <c r="C124" s="4">
        <v>45424</v>
      </c>
      <c r="D124" s="1" t="s">
        <v>15</v>
      </c>
      <c r="E124" s="1" t="s">
        <v>49</v>
      </c>
      <c r="F124" s="3">
        <v>2911</v>
      </c>
      <c r="G124" s="3">
        <v>467</v>
      </c>
      <c r="H124" s="3">
        <v>94</v>
      </c>
      <c r="I124" s="3">
        <v>59083</v>
      </c>
      <c r="J124" s="3">
        <v>49762</v>
      </c>
      <c r="K124" s="3">
        <v>236</v>
      </c>
      <c r="L124" s="1" t="s">
        <v>33</v>
      </c>
      <c r="M124" s="1" t="s">
        <v>22</v>
      </c>
    </row>
    <row r="125" spans="1:13" ht="15.75" customHeight="1">
      <c r="A125" s="1" t="s">
        <v>164</v>
      </c>
      <c r="B125" s="1" t="s">
        <v>24</v>
      </c>
      <c r="C125" s="4">
        <v>45421</v>
      </c>
      <c r="D125" s="1" t="s">
        <v>25</v>
      </c>
      <c r="E125" s="1" t="s">
        <v>26</v>
      </c>
      <c r="F125" s="3">
        <v>3277</v>
      </c>
      <c r="G125" s="3">
        <v>423</v>
      </c>
      <c r="H125" s="3">
        <v>259</v>
      </c>
      <c r="I125" s="3">
        <v>46328</v>
      </c>
      <c r="J125" s="3">
        <v>44293</v>
      </c>
      <c r="K125" s="3">
        <v>299</v>
      </c>
      <c r="L125" s="1" t="s">
        <v>17</v>
      </c>
      <c r="M125" s="1" t="s">
        <v>18</v>
      </c>
    </row>
    <row r="126" spans="1:13" ht="15.75" customHeight="1">
      <c r="A126" s="1" t="s">
        <v>165</v>
      </c>
      <c r="B126" s="1" t="s">
        <v>24</v>
      </c>
      <c r="C126" s="4">
        <v>45602</v>
      </c>
      <c r="D126" s="1" t="s">
        <v>15</v>
      </c>
      <c r="E126" s="1" t="s">
        <v>49</v>
      </c>
      <c r="F126" s="3">
        <v>2956</v>
      </c>
      <c r="G126" s="3">
        <v>381</v>
      </c>
      <c r="H126" s="3">
        <v>345</v>
      </c>
      <c r="I126" s="3">
        <v>33347</v>
      </c>
      <c r="J126" s="3">
        <v>22558</v>
      </c>
      <c r="K126" s="3">
        <v>173</v>
      </c>
      <c r="L126" s="1" t="s">
        <v>42</v>
      </c>
      <c r="M126" s="1" t="s">
        <v>18</v>
      </c>
    </row>
    <row r="127" spans="1:13" ht="15.75" customHeight="1">
      <c r="A127" s="1" t="s">
        <v>166</v>
      </c>
      <c r="B127" s="1" t="s">
        <v>24</v>
      </c>
      <c r="C127" s="4">
        <v>45295</v>
      </c>
      <c r="D127" s="1" t="s">
        <v>25</v>
      </c>
      <c r="E127" s="1" t="s">
        <v>35</v>
      </c>
      <c r="F127" s="3">
        <v>3208</v>
      </c>
      <c r="G127" s="3">
        <v>476</v>
      </c>
      <c r="H127" s="3">
        <v>277</v>
      </c>
      <c r="I127" s="3">
        <v>56072</v>
      </c>
      <c r="J127" s="3">
        <v>21061</v>
      </c>
      <c r="K127" s="3">
        <v>113</v>
      </c>
      <c r="L127" s="1" t="s">
        <v>27</v>
      </c>
      <c r="M127" s="1" t="s">
        <v>18</v>
      </c>
    </row>
    <row r="128" spans="1:13" ht="15.75" customHeight="1">
      <c r="A128" s="1" t="s">
        <v>167</v>
      </c>
      <c r="B128" s="1" t="s">
        <v>24</v>
      </c>
      <c r="C128" s="4">
        <v>45319</v>
      </c>
      <c r="D128" s="1" t="s">
        <v>15</v>
      </c>
      <c r="E128" s="1" t="s">
        <v>32</v>
      </c>
      <c r="F128" s="3">
        <v>1456</v>
      </c>
      <c r="G128" s="3">
        <v>265</v>
      </c>
      <c r="H128" s="3">
        <v>137</v>
      </c>
      <c r="I128" s="3">
        <v>53485</v>
      </c>
      <c r="J128" s="3">
        <v>59729</v>
      </c>
      <c r="K128" s="3">
        <v>145</v>
      </c>
      <c r="L128" s="1" t="s">
        <v>45</v>
      </c>
      <c r="M128" s="1" t="s">
        <v>22</v>
      </c>
    </row>
    <row r="129" spans="1:13" ht="15.75" customHeight="1">
      <c r="A129" s="1" t="s">
        <v>168</v>
      </c>
      <c r="B129" s="1" t="s">
        <v>14</v>
      </c>
      <c r="C129" s="4">
        <v>45344</v>
      </c>
      <c r="D129" s="1" t="s">
        <v>15</v>
      </c>
      <c r="E129" s="1" t="s">
        <v>26</v>
      </c>
      <c r="F129" s="3">
        <v>1902</v>
      </c>
      <c r="G129" s="3">
        <v>394</v>
      </c>
      <c r="H129" s="3">
        <v>279</v>
      </c>
      <c r="I129" s="3">
        <v>24615</v>
      </c>
      <c r="J129" s="3">
        <v>51330</v>
      </c>
      <c r="K129" s="3">
        <v>176</v>
      </c>
      <c r="L129" s="1" t="s">
        <v>17</v>
      </c>
      <c r="M129" s="1" t="s">
        <v>18</v>
      </c>
    </row>
    <row r="130" spans="1:13" ht="15.75" customHeight="1">
      <c r="A130" s="1" t="s">
        <v>169</v>
      </c>
      <c r="B130" s="1" t="s">
        <v>24</v>
      </c>
      <c r="C130" s="4">
        <v>45839</v>
      </c>
      <c r="D130" s="1" t="s">
        <v>25</v>
      </c>
      <c r="E130" s="1" t="s">
        <v>20</v>
      </c>
      <c r="F130" s="3">
        <v>3219</v>
      </c>
      <c r="G130" s="3">
        <v>424</v>
      </c>
      <c r="H130" s="3">
        <v>267</v>
      </c>
      <c r="I130" s="3">
        <v>48879</v>
      </c>
      <c r="J130" s="3">
        <v>37691</v>
      </c>
      <c r="K130" s="3">
        <v>224</v>
      </c>
      <c r="L130" s="1" t="s">
        <v>39</v>
      </c>
      <c r="M130" s="1" t="s">
        <v>18</v>
      </c>
    </row>
    <row r="131" spans="1:13" ht="15.75" customHeight="1">
      <c r="A131" s="1" t="s">
        <v>170</v>
      </c>
      <c r="B131" s="1" t="s">
        <v>31</v>
      </c>
      <c r="C131" s="4">
        <v>45301</v>
      </c>
      <c r="D131" s="1" t="s">
        <v>15</v>
      </c>
      <c r="E131" s="1" t="s">
        <v>20</v>
      </c>
      <c r="F131" s="3">
        <v>1261</v>
      </c>
      <c r="G131" s="3">
        <v>190</v>
      </c>
      <c r="H131" s="3">
        <v>233</v>
      </c>
      <c r="I131" s="3">
        <v>59888</v>
      </c>
      <c r="J131" s="3">
        <v>51449</v>
      </c>
      <c r="K131" s="3">
        <v>205</v>
      </c>
      <c r="L131" s="1" t="s">
        <v>33</v>
      </c>
      <c r="M131" s="1" t="s">
        <v>22</v>
      </c>
    </row>
    <row r="132" spans="1:13" ht="15.75" customHeight="1">
      <c r="A132" s="1" t="s">
        <v>171</v>
      </c>
      <c r="B132" s="1" t="s">
        <v>24</v>
      </c>
      <c r="C132" s="4">
        <v>45736</v>
      </c>
      <c r="D132" s="1" t="s">
        <v>15</v>
      </c>
      <c r="E132" s="1" t="s">
        <v>51</v>
      </c>
      <c r="F132" s="3">
        <v>1564</v>
      </c>
      <c r="G132" s="3">
        <v>362</v>
      </c>
      <c r="H132" s="3">
        <v>371</v>
      </c>
      <c r="I132" s="3">
        <v>42075</v>
      </c>
      <c r="J132" s="3">
        <v>66659</v>
      </c>
      <c r="K132" s="3">
        <v>205</v>
      </c>
      <c r="L132" s="1" t="s">
        <v>45</v>
      </c>
      <c r="M132" s="1" t="s">
        <v>22</v>
      </c>
    </row>
    <row r="133" spans="1:13" ht="15.75" customHeight="1">
      <c r="A133" s="1" t="s">
        <v>172</v>
      </c>
      <c r="B133" s="1" t="s">
        <v>24</v>
      </c>
      <c r="C133" s="4">
        <v>45563</v>
      </c>
      <c r="D133" s="1" t="s">
        <v>15</v>
      </c>
      <c r="E133" s="1" t="s">
        <v>35</v>
      </c>
      <c r="F133" s="3">
        <v>4006</v>
      </c>
      <c r="G133" s="3">
        <v>420</v>
      </c>
      <c r="H133" s="3">
        <v>194</v>
      </c>
      <c r="I133" s="3">
        <v>49964</v>
      </c>
      <c r="J133" s="3">
        <v>20685</v>
      </c>
      <c r="K133" s="3">
        <v>148</v>
      </c>
      <c r="L133" s="1" t="s">
        <v>42</v>
      </c>
      <c r="M133" s="1" t="s">
        <v>18</v>
      </c>
    </row>
    <row r="134" spans="1:13" ht="15.75" customHeight="1">
      <c r="A134" s="1" t="s">
        <v>173</v>
      </c>
      <c r="B134" s="1" t="s">
        <v>31</v>
      </c>
      <c r="C134" s="4">
        <v>45318</v>
      </c>
      <c r="D134" s="1" t="s">
        <v>15</v>
      </c>
      <c r="E134" s="1" t="s">
        <v>51</v>
      </c>
      <c r="F134" s="3">
        <v>1976</v>
      </c>
      <c r="G134" s="3">
        <v>262</v>
      </c>
      <c r="H134" s="3">
        <v>218</v>
      </c>
      <c r="I134" s="3">
        <v>51696</v>
      </c>
      <c r="J134" s="3">
        <v>44846</v>
      </c>
      <c r="K134" s="3">
        <v>139</v>
      </c>
      <c r="L134" s="1" t="s">
        <v>33</v>
      </c>
      <c r="M134" s="1" t="s">
        <v>22</v>
      </c>
    </row>
    <row r="135" spans="1:13" ht="15.75" customHeight="1">
      <c r="A135" s="1" t="s">
        <v>174</v>
      </c>
      <c r="B135" s="1" t="s">
        <v>24</v>
      </c>
      <c r="C135" s="4">
        <v>45792</v>
      </c>
      <c r="D135" s="1" t="s">
        <v>15</v>
      </c>
      <c r="E135" s="1" t="s">
        <v>26</v>
      </c>
      <c r="F135" s="3">
        <v>1583</v>
      </c>
      <c r="G135" s="3">
        <v>433</v>
      </c>
      <c r="H135" s="3">
        <v>249</v>
      </c>
      <c r="I135" s="3">
        <v>30256</v>
      </c>
      <c r="J135" s="3">
        <v>47066</v>
      </c>
      <c r="K135" s="3">
        <v>196</v>
      </c>
      <c r="L135" s="1" t="s">
        <v>42</v>
      </c>
      <c r="M135" s="1" t="s">
        <v>18</v>
      </c>
    </row>
    <row r="136" spans="1:13" ht="15.75" customHeight="1">
      <c r="A136" s="1" t="s">
        <v>175</v>
      </c>
      <c r="B136" s="1" t="s">
        <v>24</v>
      </c>
      <c r="C136" s="4">
        <v>45569</v>
      </c>
      <c r="D136" s="1" t="s">
        <v>25</v>
      </c>
      <c r="E136" s="1" t="s">
        <v>20</v>
      </c>
      <c r="F136" s="3">
        <v>2870</v>
      </c>
      <c r="G136" s="3">
        <v>380</v>
      </c>
      <c r="H136" s="3">
        <v>393</v>
      </c>
      <c r="I136" s="3">
        <v>37621</v>
      </c>
      <c r="J136" s="3">
        <v>71794</v>
      </c>
      <c r="K136" s="3">
        <v>127</v>
      </c>
      <c r="L136" s="1" t="s">
        <v>27</v>
      </c>
      <c r="M136" s="1" t="s">
        <v>18</v>
      </c>
    </row>
    <row r="137" spans="1:13" ht="15.75" customHeight="1">
      <c r="A137" s="1" t="s">
        <v>176</v>
      </c>
      <c r="B137" s="1" t="s">
        <v>24</v>
      </c>
      <c r="C137" s="4">
        <v>45615</v>
      </c>
      <c r="D137" s="1" t="s">
        <v>15</v>
      </c>
      <c r="E137" s="1" t="s">
        <v>41</v>
      </c>
      <c r="F137" s="3">
        <v>3728</v>
      </c>
      <c r="G137" s="3">
        <v>271</v>
      </c>
      <c r="H137" s="3">
        <v>275</v>
      </c>
      <c r="I137" s="3">
        <v>22827</v>
      </c>
      <c r="J137" s="3">
        <v>37034</v>
      </c>
      <c r="K137" s="3">
        <v>199</v>
      </c>
      <c r="L137" s="1" t="s">
        <v>42</v>
      </c>
      <c r="M137" s="1" t="s">
        <v>18</v>
      </c>
    </row>
    <row r="138" spans="1:13" ht="15.75" customHeight="1">
      <c r="A138" s="1" t="s">
        <v>177</v>
      </c>
      <c r="B138" s="1" t="s">
        <v>24</v>
      </c>
      <c r="C138" s="4">
        <v>45387</v>
      </c>
      <c r="D138" s="1" t="s">
        <v>25</v>
      </c>
      <c r="E138" s="1" t="s">
        <v>26</v>
      </c>
      <c r="F138" s="3">
        <v>4965</v>
      </c>
      <c r="G138" s="3">
        <v>175</v>
      </c>
      <c r="H138" s="3">
        <v>307</v>
      </c>
      <c r="I138" s="3">
        <v>32793</v>
      </c>
      <c r="J138" s="3">
        <v>43412</v>
      </c>
      <c r="K138" s="3">
        <v>296</v>
      </c>
      <c r="L138" s="1" t="s">
        <v>17</v>
      </c>
      <c r="M138" s="1" t="s">
        <v>18</v>
      </c>
    </row>
    <row r="139" spans="1:13" ht="15.75" customHeight="1">
      <c r="A139" s="1" t="s">
        <v>178</v>
      </c>
      <c r="B139" s="1" t="s">
        <v>24</v>
      </c>
      <c r="C139" s="4">
        <v>45624</v>
      </c>
      <c r="D139" s="1" t="s">
        <v>25</v>
      </c>
      <c r="E139" s="1" t="s">
        <v>26</v>
      </c>
      <c r="F139" s="3">
        <v>1131</v>
      </c>
      <c r="G139" s="3">
        <v>100</v>
      </c>
      <c r="H139" s="3">
        <v>116</v>
      </c>
      <c r="I139" s="3">
        <v>48437</v>
      </c>
      <c r="J139" s="3">
        <v>72704</v>
      </c>
      <c r="K139" s="3">
        <v>236</v>
      </c>
      <c r="L139" s="1" t="s">
        <v>39</v>
      </c>
      <c r="M139" s="1" t="s">
        <v>18</v>
      </c>
    </row>
    <row r="140" spans="1:13" ht="15.75" customHeight="1">
      <c r="A140" s="1" t="s">
        <v>179</v>
      </c>
      <c r="B140" s="1" t="s">
        <v>24</v>
      </c>
      <c r="C140" s="4">
        <v>45725</v>
      </c>
      <c r="D140" s="1" t="s">
        <v>15</v>
      </c>
      <c r="E140" s="1" t="s">
        <v>51</v>
      </c>
      <c r="F140" s="3">
        <v>2754</v>
      </c>
      <c r="G140" s="3">
        <v>215</v>
      </c>
      <c r="H140" s="3">
        <v>264</v>
      </c>
      <c r="I140" s="3">
        <v>27762</v>
      </c>
      <c r="J140" s="3">
        <v>70203</v>
      </c>
      <c r="K140" s="3">
        <v>289</v>
      </c>
      <c r="L140" s="1" t="s">
        <v>42</v>
      </c>
      <c r="M140" s="1" t="s">
        <v>18</v>
      </c>
    </row>
    <row r="141" spans="1:13" ht="15.75" customHeight="1">
      <c r="A141" s="1" t="s">
        <v>180</v>
      </c>
      <c r="B141" s="1" t="s">
        <v>24</v>
      </c>
      <c r="C141" s="4">
        <v>45531</v>
      </c>
      <c r="D141" s="1" t="s">
        <v>25</v>
      </c>
      <c r="E141" s="1" t="s">
        <v>26</v>
      </c>
      <c r="F141" s="3">
        <v>1856</v>
      </c>
      <c r="G141" s="3">
        <v>357</v>
      </c>
      <c r="H141" s="3">
        <v>348</v>
      </c>
      <c r="I141" s="3">
        <v>29428</v>
      </c>
      <c r="J141" s="3">
        <v>70206</v>
      </c>
      <c r="K141" s="3">
        <v>236</v>
      </c>
      <c r="L141" s="1" t="s">
        <v>27</v>
      </c>
      <c r="M141" s="1" t="s">
        <v>18</v>
      </c>
    </row>
    <row r="142" spans="1:13" ht="15.75" customHeight="1">
      <c r="A142" s="1" t="s">
        <v>181</v>
      </c>
      <c r="B142" s="1" t="s">
        <v>31</v>
      </c>
      <c r="C142" s="4">
        <v>45566</v>
      </c>
      <c r="D142" s="1" t="s">
        <v>57</v>
      </c>
      <c r="E142" s="1" t="s">
        <v>20</v>
      </c>
      <c r="F142" s="3">
        <v>3543</v>
      </c>
      <c r="G142" s="3">
        <v>334</v>
      </c>
      <c r="H142" s="3">
        <v>218</v>
      </c>
      <c r="I142" s="3">
        <v>58007</v>
      </c>
      <c r="J142" s="3">
        <v>24792</v>
      </c>
      <c r="K142" s="3">
        <v>273</v>
      </c>
      <c r="L142" s="1" t="s">
        <v>58</v>
      </c>
      <c r="M142" s="1" t="s">
        <v>59</v>
      </c>
    </row>
    <row r="143" spans="1:13" ht="15.75" customHeight="1">
      <c r="A143" s="1" t="s">
        <v>182</v>
      </c>
      <c r="B143" s="1" t="s">
        <v>14</v>
      </c>
      <c r="C143" s="4">
        <v>45647</v>
      </c>
      <c r="D143" s="1" t="s">
        <v>25</v>
      </c>
      <c r="E143" s="1" t="s">
        <v>26</v>
      </c>
      <c r="F143" s="3">
        <v>4563</v>
      </c>
      <c r="G143" s="3">
        <v>398</v>
      </c>
      <c r="H143" s="3">
        <v>163</v>
      </c>
      <c r="I143" s="3">
        <v>43679</v>
      </c>
      <c r="J143" s="3">
        <v>48760</v>
      </c>
      <c r="K143" s="3">
        <v>92</v>
      </c>
      <c r="L143" s="1" t="s">
        <v>42</v>
      </c>
      <c r="M143" s="1" t="s">
        <v>55</v>
      </c>
    </row>
    <row r="144" spans="1:13" ht="15.75" customHeight="1">
      <c r="A144" s="1" t="s">
        <v>183</v>
      </c>
      <c r="B144" s="1" t="s">
        <v>14</v>
      </c>
      <c r="C144" s="4">
        <v>45460</v>
      </c>
      <c r="D144" s="1" t="s">
        <v>15</v>
      </c>
      <c r="E144" s="1" t="s">
        <v>16</v>
      </c>
      <c r="F144" s="3">
        <v>4283</v>
      </c>
      <c r="G144" s="3">
        <v>471</v>
      </c>
      <c r="H144" s="3">
        <v>156</v>
      </c>
      <c r="I144" s="3">
        <v>53004</v>
      </c>
      <c r="J144" s="3">
        <v>25678</v>
      </c>
      <c r="K144" s="3">
        <v>105</v>
      </c>
      <c r="L144" s="1" t="s">
        <v>21</v>
      </c>
      <c r="M144" s="1" t="s">
        <v>22</v>
      </c>
    </row>
    <row r="145" spans="1:13" ht="15.75" customHeight="1">
      <c r="A145" s="1" t="s">
        <v>184</v>
      </c>
      <c r="B145" s="1" t="s">
        <v>14</v>
      </c>
      <c r="C145" s="4">
        <v>45702</v>
      </c>
      <c r="D145" s="1" t="s">
        <v>15</v>
      </c>
      <c r="E145" s="1" t="s">
        <v>16</v>
      </c>
      <c r="F145" s="3">
        <v>2329</v>
      </c>
      <c r="G145" s="3">
        <v>373</v>
      </c>
      <c r="H145" s="3">
        <v>291</v>
      </c>
      <c r="I145" s="3">
        <v>49577</v>
      </c>
      <c r="J145" s="3">
        <v>28002</v>
      </c>
      <c r="K145" s="3">
        <v>82</v>
      </c>
      <c r="L145" s="1" t="s">
        <v>17</v>
      </c>
      <c r="M145" s="1" t="s">
        <v>18</v>
      </c>
    </row>
    <row r="146" spans="1:13" ht="15.75" customHeight="1">
      <c r="A146" s="1" t="s">
        <v>185</v>
      </c>
      <c r="B146" s="1" t="s">
        <v>24</v>
      </c>
      <c r="C146" s="4">
        <v>45805</v>
      </c>
      <c r="D146" s="1" t="s">
        <v>25</v>
      </c>
      <c r="E146" s="1" t="s">
        <v>41</v>
      </c>
      <c r="F146" s="3">
        <v>4287</v>
      </c>
      <c r="G146" s="3">
        <v>273</v>
      </c>
      <c r="H146" s="3">
        <v>122</v>
      </c>
      <c r="I146" s="3">
        <v>40792</v>
      </c>
      <c r="J146" s="3">
        <v>23878</v>
      </c>
      <c r="K146" s="3">
        <v>277</v>
      </c>
      <c r="L146" s="1" t="s">
        <v>27</v>
      </c>
      <c r="M146" s="1" t="s">
        <v>18</v>
      </c>
    </row>
    <row r="147" spans="1:13" ht="15.75" customHeight="1">
      <c r="A147" s="1" t="s">
        <v>186</v>
      </c>
      <c r="B147" s="1" t="s">
        <v>14</v>
      </c>
      <c r="C147" s="4">
        <v>45799</v>
      </c>
      <c r="D147" s="1" t="s">
        <v>15</v>
      </c>
      <c r="E147" s="1" t="s">
        <v>16</v>
      </c>
      <c r="F147" s="3">
        <v>2633</v>
      </c>
      <c r="G147" s="3">
        <v>318</v>
      </c>
      <c r="H147" s="3">
        <v>380</v>
      </c>
      <c r="I147" s="3">
        <v>40869</v>
      </c>
      <c r="J147" s="3">
        <v>64474</v>
      </c>
      <c r="K147" s="3">
        <v>245</v>
      </c>
      <c r="L147" s="1" t="s">
        <v>21</v>
      </c>
      <c r="M147" s="1" t="s">
        <v>22</v>
      </c>
    </row>
    <row r="148" spans="1:13" ht="15.75" customHeight="1">
      <c r="A148" s="1" t="s">
        <v>187</v>
      </c>
      <c r="B148" s="1" t="s">
        <v>24</v>
      </c>
      <c r="C148" s="4">
        <v>45312</v>
      </c>
      <c r="D148" s="1" t="s">
        <v>25</v>
      </c>
      <c r="E148" s="1" t="s">
        <v>16</v>
      </c>
      <c r="F148" s="3">
        <v>2383</v>
      </c>
      <c r="G148" s="3">
        <v>136</v>
      </c>
      <c r="H148" s="3">
        <v>302</v>
      </c>
      <c r="I148" s="3">
        <v>39187</v>
      </c>
      <c r="J148" s="3">
        <v>22133</v>
      </c>
      <c r="K148" s="3">
        <v>208</v>
      </c>
      <c r="L148" s="1" t="s">
        <v>27</v>
      </c>
      <c r="M148" s="1" t="s">
        <v>18</v>
      </c>
    </row>
    <row r="149" spans="1:13" ht="15.75" customHeight="1">
      <c r="A149" s="1" t="s">
        <v>188</v>
      </c>
      <c r="B149" s="1" t="s">
        <v>24</v>
      </c>
      <c r="C149" s="4">
        <v>45696</v>
      </c>
      <c r="D149" s="1" t="s">
        <v>25</v>
      </c>
      <c r="E149" s="1" t="s">
        <v>51</v>
      </c>
      <c r="F149" s="3">
        <v>4752</v>
      </c>
      <c r="G149" s="3">
        <v>334</v>
      </c>
      <c r="H149" s="3">
        <v>56</v>
      </c>
      <c r="I149" s="3">
        <v>48017</v>
      </c>
      <c r="J149" s="3">
        <v>55534</v>
      </c>
      <c r="K149" s="3">
        <v>270</v>
      </c>
      <c r="L149" s="1" t="s">
        <v>39</v>
      </c>
      <c r="M149" s="1" t="s">
        <v>18</v>
      </c>
    </row>
    <row r="150" spans="1:13" ht="15.75" customHeight="1">
      <c r="A150" s="1" t="s">
        <v>189</v>
      </c>
      <c r="B150" s="1" t="s">
        <v>24</v>
      </c>
      <c r="C150" s="4">
        <v>45760</v>
      </c>
      <c r="D150" s="1" t="s">
        <v>15</v>
      </c>
      <c r="E150" s="1" t="s">
        <v>49</v>
      </c>
      <c r="F150" s="3">
        <v>3890</v>
      </c>
      <c r="G150" s="3">
        <v>408</v>
      </c>
      <c r="H150" s="3">
        <v>338</v>
      </c>
      <c r="I150" s="3">
        <v>56994</v>
      </c>
      <c r="J150" s="3">
        <v>32621</v>
      </c>
      <c r="K150" s="3">
        <v>286</v>
      </c>
      <c r="L150" s="1" t="s">
        <v>45</v>
      </c>
      <c r="M150" s="1" t="s">
        <v>22</v>
      </c>
    </row>
    <row r="151" spans="1:13" ht="15.75" customHeight="1">
      <c r="A151" s="1" t="s">
        <v>190</v>
      </c>
      <c r="B151" s="1" t="s">
        <v>24</v>
      </c>
      <c r="C151" s="4">
        <v>45442</v>
      </c>
      <c r="D151" s="1" t="s">
        <v>25</v>
      </c>
      <c r="E151" s="1" t="s">
        <v>51</v>
      </c>
      <c r="F151" s="3">
        <v>2311</v>
      </c>
      <c r="G151" s="3">
        <v>207</v>
      </c>
      <c r="H151" s="3">
        <v>363</v>
      </c>
      <c r="I151" s="3">
        <v>30349</v>
      </c>
      <c r="J151" s="3">
        <v>32925</v>
      </c>
      <c r="K151" s="3">
        <v>88</v>
      </c>
      <c r="L151" s="1" t="s">
        <v>27</v>
      </c>
      <c r="M151" s="1" t="s">
        <v>18</v>
      </c>
    </row>
    <row r="152" spans="1:13" ht="15.75" customHeight="1">
      <c r="A152" s="1" t="s">
        <v>191</v>
      </c>
      <c r="B152" s="1" t="s">
        <v>14</v>
      </c>
      <c r="C152" s="4">
        <v>45516</v>
      </c>
      <c r="D152" s="1" t="s">
        <v>25</v>
      </c>
      <c r="E152" s="1" t="s">
        <v>16</v>
      </c>
      <c r="F152" s="3">
        <v>2962</v>
      </c>
      <c r="G152" s="3">
        <v>400</v>
      </c>
      <c r="H152" s="3">
        <v>280</v>
      </c>
      <c r="I152" s="3">
        <v>52508</v>
      </c>
      <c r="J152" s="3">
        <v>58329</v>
      </c>
      <c r="K152" s="3">
        <v>219</v>
      </c>
      <c r="L152" s="1" t="s">
        <v>42</v>
      </c>
      <c r="M152" s="1" t="s">
        <v>55</v>
      </c>
    </row>
    <row r="153" spans="1:13" ht="15.75" customHeight="1">
      <c r="A153" s="1" t="s">
        <v>192</v>
      </c>
      <c r="B153" s="1" t="s">
        <v>14</v>
      </c>
      <c r="C153" s="4">
        <v>45562</v>
      </c>
      <c r="D153" s="1" t="s">
        <v>15</v>
      </c>
      <c r="E153" s="1" t="s">
        <v>16</v>
      </c>
      <c r="F153" s="3">
        <v>3118</v>
      </c>
      <c r="G153" s="3">
        <v>116</v>
      </c>
      <c r="H153" s="3">
        <v>195</v>
      </c>
      <c r="I153" s="3">
        <v>37100</v>
      </c>
      <c r="J153" s="3">
        <v>62629</v>
      </c>
      <c r="K153" s="3">
        <v>272</v>
      </c>
      <c r="L153" s="1" t="s">
        <v>21</v>
      </c>
      <c r="M153" s="1" t="s">
        <v>22</v>
      </c>
    </row>
    <row r="154" spans="1:13" ht="15.75" customHeight="1">
      <c r="A154" s="1" t="s">
        <v>193</v>
      </c>
      <c r="B154" s="1" t="s">
        <v>24</v>
      </c>
      <c r="C154" s="4">
        <v>45819</v>
      </c>
      <c r="D154" s="1" t="s">
        <v>25</v>
      </c>
      <c r="E154" s="1" t="s">
        <v>20</v>
      </c>
      <c r="F154" s="3">
        <v>3805</v>
      </c>
      <c r="G154" s="3">
        <v>453</v>
      </c>
      <c r="H154" s="3">
        <v>63</v>
      </c>
      <c r="I154" s="3">
        <v>52395</v>
      </c>
      <c r="J154" s="3">
        <v>72934</v>
      </c>
      <c r="K154" s="3">
        <v>87</v>
      </c>
      <c r="L154" s="1" t="s">
        <v>39</v>
      </c>
      <c r="M154" s="1" t="s">
        <v>18</v>
      </c>
    </row>
    <row r="155" spans="1:13" ht="15.75" customHeight="1">
      <c r="A155" s="1" t="s">
        <v>194</v>
      </c>
      <c r="B155" s="1" t="s">
        <v>14</v>
      </c>
      <c r="C155" s="4">
        <v>45615</v>
      </c>
      <c r="D155" s="1" t="s">
        <v>15</v>
      </c>
      <c r="E155" s="1" t="s">
        <v>35</v>
      </c>
      <c r="F155" s="3">
        <v>2525</v>
      </c>
      <c r="G155" s="3">
        <v>272</v>
      </c>
      <c r="H155" s="3">
        <v>294</v>
      </c>
      <c r="I155" s="3">
        <v>51875</v>
      </c>
      <c r="J155" s="3">
        <v>24732</v>
      </c>
      <c r="K155" s="3">
        <v>92</v>
      </c>
      <c r="L155" s="1" t="s">
        <v>21</v>
      </c>
      <c r="M155" s="1" t="s">
        <v>22</v>
      </c>
    </row>
    <row r="156" spans="1:13" ht="15.75" customHeight="1">
      <c r="A156" s="1" t="s">
        <v>195</v>
      </c>
      <c r="B156" s="1" t="s">
        <v>14</v>
      </c>
      <c r="C156" s="4">
        <v>45407</v>
      </c>
      <c r="D156" s="1" t="s">
        <v>15</v>
      </c>
      <c r="E156" s="1" t="s">
        <v>32</v>
      </c>
      <c r="F156" s="3">
        <v>3563</v>
      </c>
      <c r="G156" s="3">
        <v>483</v>
      </c>
      <c r="H156" s="3">
        <v>227</v>
      </c>
      <c r="I156" s="3">
        <v>41085</v>
      </c>
      <c r="J156" s="3">
        <v>26393</v>
      </c>
      <c r="K156" s="3">
        <v>236</v>
      </c>
      <c r="L156" s="1" t="s">
        <v>17</v>
      </c>
      <c r="M156" s="1" t="s">
        <v>18</v>
      </c>
    </row>
    <row r="157" spans="1:13" ht="15.75" customHeight="1">
      <c r="A157" s="1" t="s">
        <v>196</v>
      </c>
      <c r="B157" s="1" t="s">
        <v>31</v>
      </c>
      <c r="C157" s="4">
        <v>45538</v>
      </c>
      <c r="D157" s="1" t="s">
        <v>57</v>
      </c>
      <c r="E157" s="1" t="s">
        <v>35</v>
      </c>
      <c r="F157" s="3">
        <v>1437</v>
      </c>
      <c r="G157" s="3">
        <v>494</v>
      </c>
      <c r="H157" s="3">
        <v>129</v>
      </c>
      <c r="I157" s="3">
        <v>53048</v>
      </c>
      <c r="J157" s="3">
        <v>44090</v>
      </c>
      <c r="K157" s="3">
        <v>230</v>
      </c>
      <c r="L157" s="1" t="s">
        <v>58</v>
      </c>
      <c r="M157" s="1" t="s">
        <v>59</v>
      </c>
    </row>
    <row r="158" spans="1:13" ht="15.75" customHeight="1">
      <c r="A158" s="1" t="s">
        <v>197</v>
      </c>
      <c r="B158" s="1" t="s">
        <v>31</v>
      </c>
      <c r="C158" s="4">
        <v>45718</v>
      </c>
      <c r="D158" s="1" t="s">
        <v>15</v>
      </c>
      <c r="E158" s="1" t="s">
        <v>49</v>
      </c>
      <c r="F158" s="3">
        <v>4425</v>
      </c>
      <c r="G158" s="3">
        <v>185</v>
      </c>
      <c r="H158" s="3">
        <v>162</v>
      </c>
      <c r="I158" s="3">
        <v>24610</v>
      </c>
      <c r="J158" s="3">
        <v>21342</v>
      </c>
      <c r="K158" s="3">
        <v>158</v>
      </c>
      <c r="L158" s="1" t="s">
        <v>33</v>
      </c>
      <c r="M158" s="1" t="s">
        <v>22</v>
      </c>
    </row>
    <row r="159" spans="1:13" ht="15.75" customHeight="1">
      <c r="A159" s="1" t="s">
        <v>198</v>
      </c>
      <c r="B159" s="1" t="s">
        <v>24</v>
      </c>
      <c r="C159" s="4">
        <v>45737</v>
      </c>
      <c r="D159" s="1" t="s">
        <v>25</v>
      </c>
      <c r="E159" s="1" t="s">
        <v>26</v>
      </c>
      <c r="F159" s="3">
        <v>4609</v>
      </c>
      <c r="G159" s="3">
        <v>427</v>
      </c>
      <c r="H159" s="3">
        <v>395</v>
      </c>
      <c r="I159" s="3">
        <v>33698</v>
      </c>
      <c r="J159" s="3">
        <v>29259</v>
      </c>
      <c r="K159" s="3">
        <v>216</v>
      </c>
      <c r="L159" s="1" t="s">
        <v>39</v>
      </c>
      <c r="M159" s="1" t="s">
        <v>18</v>
      </c>
    </row>
    <row r="160" spans="1:13" ht="15.75" customHeight="1">
      <c r="A160" s="1" t="s">
        <v>199</v>
      </c>
      <c r="B160" s="1" t="s">
        <v>14</v>
      </c>
      <c r="C160" s="4">
        <v>45394</v>
      </c>
      <c r="D160" s="1" t="s">
        <v>25</v>
      </c>
      <c r="E160" s="1" t="s">
        <v>37</v>
      </c>
      <c r="F160" s="3">
        <v>1558</v>
      </c>
      <c r="G160" s="3">
        <v>352</v>
      </c>
      <c r="H160" s="3">
        <v>202</v>
      </c>
      <c r="I160" s="3">
        <v>25405</v>
      </c>
      <c r="J160" s="3">
        <v>69941</v>
      </c>
      <c r="K160" s="3">
        <v>219</v>
      </c>
      <c r="L160" s="1" t="s">
        <v>42</v>
      </c>
      <c r="M160" s="1" t="s">
        <v>55</v>
      </c>
    </row>
    <row r="161" spans="1:13" ht="15.75" customHeight="1">
      <c r="A161" s="1" t="s">
        <v>200</v>
      </c>
      <c r="B161" s="1" t="s">
        <v>31</v>
      </c>
      <c r="C161" s="4">
        <v>45330</v>
      </c>
      <c r="D161" s="1" t="s">
        <v>57</v>
      </c>
      <c r="E161" s="1" t="s">
        <v>41</v>
      </c>
      <c r="F161" s="3">
        <v>1889</v>
      </c>
      <c r="G161" s="3">
        <v>298</v>
      </c>
      <c r="H161" s="3">
        <v>122</v>
      </c>
      <c r="I161" s="3">
        <v>46225</v>
      </c>
      <c r="J161" s="3">
        <v>74305</v>
      </c>
      <c r="K161" s="3">
        <v>293</v>
      </c>
      <c r="L161" s="1" t="s">
        <v>58</v>
      </c>
      <c r="M161" s="1" t="s">
        <v>59</v>
      </c>
    </row>
    <row r="162" spans="1:13" ht="15.75" customHeight="1">
      <c r="A162" s="1" t="s">
        <v>201</v>
      </c>
      <c r="B162" s="1" t="s">
        <v>14</v>
      </c>
      <c r="C162" s="4">
        <v>45803</v>
      </c>
      <c r="D162" s="1" t="s">
        <v>15</v>
      </c>
      <c r="E162" s="1" t="s">
        <v>16</v>
      </c>
      <c r="F162" s="3">
        <v>3086</v>
      </c>
      <c r="G162" s="3">
        <v>148</v>
      </c>
      <c r="H162" s="3">
        <v>310</v>
      </c>
      <c r="I162" s="3">
        <v>22824</v>
      </c>
      <c r="J162" s="3">
        <v>58103</v>
      </c>
      <c r="K162" s="3">
        <v>275</v>
      </c>
      <c r="L162" s="1" t="s">
        <v>21</v>
      </c>
      <c r="M162" s="1" t="s">
        <v>22</v>
      </c>
    </row>
    <row r="163" spans="1:13" ht="15.75" customHeight="1">
      <c r="A163" s="1" t="s">
        <v>202</v>
      </c>
      <c r="B163" s="1" t="s">
        <v>14</v>
      </c>
      <c r="C163" s="4">
        <v>45610</v>
      </c>
      <c r="D163" s="1" t="s">
        <v>15</v>
      </c>
      <c r="E163" s="1" t="s">
        <v>32</v>
      </c>
      <c r="F163" s="3">
        <v>2422</v>
      </c>
      <c r="G163" s="3">
        <v>318</v>
      </c>
      <c r="H163" s="3">
        <v>118</v>
      </c>
      <c r="I163" s="3">
        <v>25386</v>
      </c>
      <c r="J163" s="3">
        <v>20873</v>
      </c>
      <c r="K163" s="3">
        <v>100</v>
      </c>
      <c r="L163" s="1" t="s">
        <v>17</v>
      </c>
      <c r="M163" s="1" t="s">
        <v>18</v>
      </c>
    </row>
    <row r="164" spans="1:13" ht="15.75" customHeight="1">
      <c r="A164" s="1" t="s">
        <v>203</v>
      </c>
      <c r="B164" s="1" t="s">
        <v>31</v>
      </c>
      <c r="C164" s="4">
        <v>45513</v>
      </c>
      <c r="D164" s="1" t="s">
        <v>57</v>
      </c>
      <c r="E164" s="1" t="s">
        <v>49</v>
      </c>
      <c r="F164" s="3">
        <v>3414</v>
      </c>
      <c r="G164" s="3">
        <v>154</v>
      </c>
      <c r="H164" s="3">
        <v>204</v>
      </c>
      <c r="I164" s="3">
        <v>34146</v>
      </c>
      <c r="J164" s="3">
        <v>44633</v>
      </c>
      <c r="K164" s="3">
        <v>256</v>
      </c>
      <c r="L164" s="1" t="s">
        <v>58</v>
      </c>
      <c r="M164" s="1" t="s">
        <v>59</v>
      </c>
    </row>
    <row r="165" spans="1:13" ht="15.75" customHeight="1">
      <c r="A165" s="1" t="s">
        <v>204</v>
      </c>
      <c r="B165" s="1" t="s">
        <v>14</v>
      </c>
      <c r="C165" s="4">
        <v>45835</v>
      </c>
      <c r="D165" s="1" t="s">
        <v>25</v>
      </c>
      <c r="E165" s="1" t="s">
        <v>35</v>
      </c>
      <c r="F165" s="3">
        <v>1342</v>
      </c>
      <c r="G165" s="3">
        <v>332</v>
      </c>
      <c r="H165" s="3">
        <v>163</v>
      </c>
      <c r="I165" s="3">
        <v>51712</v>
      </c>
      <c r="J165" s="3">
        <v>57922</v>
      </c>
      <c r="K165" s="3">
        <v>168</v>
      </c>
      <c r="L165" s="1" t="s">
        <v>42</v>
      </c>
      <c r="M165" s="1" t="s">
        <v>55</v>
      </c>
    </row>
    <row r="166" spans="1:13" ht="15.75" customHeight="1">
      <c r="A166" s="1" t="s">
        <v>205</v>
      </c>
      <c r="B166" s="1" t="s">
        <v>14</v>
      </c>
      <c r="C166" s="4">
        <v>45420</v>
      </c>
      <c r="D166" s="1" t="s">
        <v>25</v>
      </c>
      <c r="E166" s="1" t="s">
        <v>32</v>
      </c>
      <c r="F166" s="3">
        <v>2414</v>
      </c>
      <c r="G166" s="3">
        <v>220</v>
      </c>
      <c r="H166" s="3">
        <v>280</v>
      </c>
      <c r="I166" s="3">
        <v>27355</v>
      </c>
      <c r="J166" s="3">
        <v>50562</v>
      </c>
      <c r="K166" s="3">
        <v>258</v>
      </c>
      <c r="L166" s="1" t="s">
        <v>42</v>
      </c>
      <c r="M166" s="1" t="s">
        <v>55</v>
      </c>
    </row>
    <row r="167" spans="1:13" ht="15.75" customHeight="1">
      <c r="A167" s="1" t="s">
        <v>206</v>
      </c>
      <c r="B167" s="1" t="s">
        <v>14</v>
      </c>
      <c r="C167" s="4">
        <v>45387</v>
      </c>
      <c r="D167" s="1" t="s">
        <v>15</v>
      </c>
      <c r="E167" s="1" t="s">
        <v>26</v>
      </c>
      <c r="F167" s="3">
        <v>4383</v>
      </c>
      <c r="G167" s="3">
        <v>352</v>
      </c>
      <c r="H167" s="3">
        <v>176</v>
      </c>
      <c r="I167" s="3">
        <v>53239</v>
      </c>
      <c r="J167" s="3">
        <v>34168</v>
      </c>
      <c r="K167" s="3">
        <v>288</v>
      </c>
      <c r="L167" s="1" t="s">
        <v>21</v>
      </c>
      <c r="M167" s="1" t="s">
        <v>22</v>
      </c>
    </row>
    <row r="168" spans="1:13" ht="15.75" customHeight="1">
      <c r="A168" s="1" t="s">
        <v>207</v>
      </c>
      <c r="B168" s="1" t="s">
        <v>31</v>
      </c>
      <c r="C168" s="4">
        <v>45684</v>
      </c>
      <c r="D168" s="1" t="s">
        <v>15</v>
      </c>
      <c r="E168" s="1" t="s">
        <v>29</v>
      </c>
      <c r="F168" s="3">
        <v>4294</v>
      </c>
      <c r="G168" s="3">
        <v>423</v>
      </c>
      <c r="H168" s="3">
        <v>93</v>
      </c>
      <c r="I168" s="3">
        <v>29828</v>
      </c>
      <c r="J168" s="3">
        <v>73144</v>
      </c>
      <c r="K168" s="3">
        <v>298</v>
      </c>
      <c r="L168" s="1" t="s">
        <v>33</v>
      </c>
      <c r="M168" s="1" t="s">
        <v>22</v>
      </c>
    </row>
    <row r="169" spans="1:13" ht="15.75" customHeight="1">
      <c r="A169" s="1" t="s">
        <v>208</v>
      </c>
      <c r="B169" s="1" t="s">
        <v>14</v>
      </c>
      <c r="C169" s="4">
        <v>45385</v>
      </c>
      <c r="D169" s="1" t="s">
        <v>15</v>
      </c>
      <c r="E169" s="1" t="s">
        <v>41</v>
      </c>
      <c r="F169" s="3">
        <v>2762</v>
      </c>
      <c r="G169" s="3">
        <v>339</v>
      </c>
      <c r="H169" s="3">
        <v>323</v>
      </c>
      <c r="I169" s="3">
        <v>33757</v>
      </c>
      <c r="J169" s="3">
        <v>68511</v>
      </c>
      <c r="K169" s="3">
        <v>121</v>
      </c>
      <c r="L169" s="1" t="s">
        <v>17</v>
      </c>
      <c r="M169" s="1" t="s">
        <v>18</v>
      </c>
    </row>
    <row r="170" spans="1:13" ht="15.75" customHeight="1">
      <c r="A170" s="1" t="s">
        <v>209</v>
      </c>
      <c r="B170" s="1" t="s">
        <v>31</v>
      </c>
      <c r="C170" s="4">
        <v>45660</v>
      </c>
      <c r="D170" s="1" t="s">
        <v>15</v>
      </c>
      <c r="E170" s="1" t="s">
        <v>26</v>
      </c>
      <c r="F170" s="3">
        <v>3782</v>
      </c>
      <c r="G170" s="3">
        <v>484</v>
      </c>
      <c r="H170" s="3">
        <v>144</v>
      </c>
      <c r="I170" s="3">
        <v>52172</v>
      </c>
      <c r="J170" s="3">
        <v>59386</v>
      </c>
      <c r="K170" s="3">
        <v>175</v>
      </c>
      <c r="L170" s="1" t="s">
        <v>33</v>
      </c>
      <c r="M170" s="1" t="s">
        <v>22</v>
      </c>
    </row>
    <row r="171" spans="1:13" ht="15.75" customHeight="1">
      <c r="A171" s="1" t="s">
        <v>210</v>
      </c>
      <c r="B171" s="1" t="s">
        <v>24</v>
      </c>
      <c r="C171" s="4">
        <v>45619</v>
      </c>
      <c r="D171" s="1" t="s">
        <v>15</v>
      </c>
      <c r="E171" s="1" t="s">
        <v>26</v>
      </c>
      <c r="F171" s="3">
        <v>4318</v>
      </c>
      <c r="G171" s="3">
        <v>371</v>
      </c>
      <c r="H171" s="3">
        <v>329</v>
      </c>
      <c r="I171" s="3">
        <v>32347</v>
      </c>
      <c r="J171" s="3">
        <v>68956</v>
      </c>
      <c r="K171" s="3">
        <v>259</v>
      </c>
      <c r="L171" s="1" t="s">
        <v>45</v>
      </c>
      <c r="M171" s="1" t="s">
        <v>22</v>
      </c>
    </row>
    <row r="172" spans="1:13" ht="15.75" customHeight="1">
      <c r="A172" s="1" t="s">
        <v>211</v>
      </c>
      <c r="B172" s="1" t="s">
        <v>14</v>
      </c>
      <c r="C172" s="4">
        <v>45536</v>
      </c>
      <c r="D172" s="1" t="s">
        <v>25</v>
      </c>
      <c r="E172" s="1" t="s">
        <v>29</v>
      </c>
      <c r="F172" s="3">
        <v>2335</v>
      </c>
      <c r="G172" s="3">
        <v>150</v>
      </c>
      <c r="H172" s="3">
        <v>75</v>
      </c>
      <c r="I172" s="3">
        <v>26114</v>
      </c>
      <c r="J172" s="3">
        <v>57549</v>
      </c>
      <c r="K172" s="3">
        <v>135</v>
      </c>
      <c r="L172" s="1" t="s">
        <v>42</v>
      </c>
      <c r="M172" s="1" t="s">
        <v>55</v>
      </c>
    </row>
    <row r="173" spans="1:13" ht="15.75" customHeight="1">
      <c r="A173" s="1" t="s">
        <v>212</v>
      </c>
      <c r="B173" s="1" t="s">
        <v>31</v>
      </c>
      <c r="C173" s="4">
        <v>45400</v>
      </c>
      <c r="D173" s="1" t="s">
        <v>15</v>
      </c>
      <c r="E173" s="1" t="s">
        <v>20</v>
      </c>
      <c r="F173" s="3">
        <v>4023</v>
      </c>
      <c r="G173" s="3">
        <v>293</v>
      </c>
      <c r="H173" s="3">
        <v>91</v>
      </c>
      <c r="I173" s="3">
        <v>26795</v>
      </c>
      <c r="J173" s="3">
        <v>28924</v>
      </c>
      <c r="K173" s="3">
        <v>278</v>
      </c>
      <c r="L173" s="1" t="s">
        <v>33</v>
      </c>
      <c r="M173" s="1" t="s">
        <v>22</v>
      </c>
    </row>
    <row r="174" spans="1:13" ht="15.75" customHeight="1">
      <c r="A174" s="1" t="s">
        <v>213</v>
      </c>
      <c r="B174" s="1" t="s">
        <v>14</v>
      </c>
      <c r="C174" s="4">
        <v>45447</v>
      </c>
      <c r="D174" s="1" t="s">
        <v>15</v>
      </c>
      <c r="E174" s="1" t="s">
        <v>37</v>
      </c>
      <c r="F174" s="3">
        <v>3948</v>
      </c>
      <c r="G174" s="3">
        <v>151</v>
      </c>
      <c r="H174" s="3">
        <v>249</v>
      </c>
      <c r="I174" s="3">
        <v>43147</v>
      </c>
      <c r="J174" s="3">
        <v>63136</v>
      </c>
      <c r="K174" s="3">
        <v>230</v>
      </c>
      <c r="L174" s="1" t="s">
        <v>21</v>
      </c>
      <c r="M174" s="1" t="s">
        <v>22</v>
      </c>
    </row>
    <row r="175" spans="1:13" ht="15.75" customHeight="1">
      <c r="A175" s="1" t="s">
        <v>214</v>
      </c>
      <c r="B175" s="1" t="s">
        <v>31</v>
      </c>
      <c r="C175" s="4">
        <v>45749</v>
      </c>
      <c r="D175" s="1" t="s">
        <v>15</v>
      </c>
      <c r="E175" s="1" t="s">
        <v>29</v>
      </c>
      <c r="F175" s="3">
        <v>4598</v>
      </c>
      <c r="G175" s="3">
        <v>455</v>
      </c>
      <c r="H175" s="3">
        <v>378</v>
      </c>
      <c r="I175" s="3">
        <v>52952</v>
      </c>
      <c r="J175" s="3">
        <v>58504</v>
      </c>
      <c r="K175" s="3">
        <v>269</v>
      </c>
      <c r="L175" s="1" t="s">
        <v>33</v>
      </c>
      <c r="M175" s="1" t="s">
        <v>22</v>
      </c>
    </row>
    <row r="176" spans="1:13" ht="15.75" customHeight="1">
      <c r="A176" s="1" t="s">
        <v>215</v>
      </c>
      <c r="B176" s="1" t="s">
        <v>24</v>
      </c>
      <c r="C176" s="4">
        <v>45748</v>
      </c>
      <c r="D176" s="1" t="s">
        <v>25</v>
      </c>
      <c r="E176" s="1" t="s">
        <v>32</v>
      </c>
      <c r="F176" s="3">
        <v>2665</v>
      </c>
      <c r="G176" s="3">
        <v>143</v>
      </c>
      <c r="H176" s="3">
        <v>315</v>
      </c>
      <c r="I176" s="3">
        <v>54808</v>
      </c>
      <c r="J176" s="3">
        <v>29818</v>
      </c>
      <c r="K176" s="3">
        <v>98</v>
      </c>
      <c r="L176" s="1" t="s">
        <v>39</v>
      </c>
      <c r="M176" s="1" t="s">
        <v>18</v>
      </c>
    </row>
    <row r="177" spans="1:13" ht="15.75" customHeight="1">
      <c r="A177" s="1" t="s">
        <v>216</v>
      </c>
      <c r="B177" s="1" t="s">
        <v>14</v>
      </c>
      <c r="C177" s="4">
        <v>45475</v>
      </c>
      <c r="D177" s="1" t="s">
        <v>15</v>
      </c>
      <c r="E177" s="1" t="s">
        <v>41</v>
      </c>
      <c r="F177" s="3">
        <v>3469</v>
      </c>
      <c r="G177" s="3">
        <v>371</v>
      </c>
      <c r="H177" s="3">
        <v>76</v>
      </c>
      <c r="I177" s="3">
        <v>46493</v>
      </c>
      <c r="J177" s="3">
        <v>26906</v>
      </c>
      <c r="K177" s="3">
        <v>150</v>
      </c>
      <c r="L177" s="1" t="s">
        <v>17</v>
      </c>
      <c r="M177" s="1" t="s">
        <v>18</v>
      </c>
    </row>
    <row r="178" spans="1:13" ht="15.75" customHeight="1">
      <c r="A178" s="1" t="s">
        <v>217</v>
      </c>
      <c r="B178" s="1" t="s">
        <v>24</v>
      </c>
      <c r="C178" s="4">
        <v>45606</v>
      </c>
      <c r="D178" s="1" t="s">
        <v>15</v>
      </c>
      <c r="E178" s="1" t="s">
        <v>20</v>
      </c>
      <c r="F178" s="3">
        <v>4823</v>
      </c>
      <c r="G178" s="3">
        <v>489</v>
      </c>
      <c r="H178" s="3">
        <v>302</v>
      </c>
      <c r="I178" s="3">
        <v>32470</v>
      </c>
      <c r="J178" s="3">
        <v>31861</v>
      </c>
      <c r="K178" s="3">
        <v>178</v>
      </c>
      <c r="L178" s="1" t="s">
        <v>45</v>
      </c>
      <c r="M178" s="1" t="s">
        <v>22</v>
      </c>
    </row>
    <row r="179" spans="1:13" ht="15.75" customHeight="1">
      <c r="A179" s="1" t="s">
        <v>218</v>
      </c>
      <c r="B179" s="1" t="s">
        <v>14</v>
      </c>
      <c r="C179" s="4">
        <v>45640</v>
      </c>
      <c r="D179" s="1" t="s">
        <v>25</v>
      </c>
      <c r="E179" s="1" t="s">
        <v>49</v>
      </c>
      <c r="F179" s="3">
        <v>3812</v>
      </c>
      <c r="G179" s="3">
        <v>321</v>
      </c>
      <c r="H179" s="3">
        <v>289</v>
      </c>
      <c r="I179" s="3">
        <v>59838</v>
      </c>
      <c r="J179" s="3">
        <v>36337</v>
      </c>
      <c r="K179" s="3">
        <v>161</v>
      </c>
      <c r="L179" s="1" t="s">
        <v>42</v>
      </c>
      <c r="M179" s="1" t="s">
        <v>55</v>
      </c>
    </row>
    <row r="180" spans="1:13" ht="15.75" customHeight="1">
      <c r="A180" s="1" t="s">
        <v>219</v>
      </c>
      <c r="B180" s="1" t="s">
        <v>24</v>
      </c>
      <c r="C180" s="4">
        <v>45615</v>
      </c>
      <c r="D180" s="1" t="s">
        <v>15</v>
      </c>
      <c r="E180" s="1" t="s">
        <v>20</v>
      </c>
      <c r="F180" s="3">
        <v>2387</v>
      </c>
      <c r="G180" s="3">
        <v>353</v>
      </c>
      <c r="H180" s="3">
        <v>78</v>
      </c>
      <c r="I180" s="3">
        <v>39745</v>
      </c>
      <c r="J180" s="3">
        <v>69226</v>
      </c>
      <c r="K180" s="3">
        <v>208</v>
      </c>
      <c r="L180" s="1" t="s">
        <v>45</v>
      </c>
      <c r="M180" s="1" t="s">
        <v>22</v>
      </c>
    </row>
    <row r="181" spans="1:13" ht="15.75" customHeight="1">
      <c r="A181" s="1" t="s">
        <v>220</v>
      </c>
      <c r="B181" s="1" t="s">
        <v>24</v>
      </c>
      <c r="C181" s="4">
        <v>45777</v>
      </c>
      <c r="D181" s="1" t="s">
        <v>25</v>
      </c>
      <c r="E181" s="1" t="s">
        <v>29</v>
      </c>
      <c r="F181" s="3">
        <v>3929</v>
      </c>
      <c r="G181" s="3">
        <v>275</v>
      </c>
      <c r="H181" s="3">
        <v>330</v>
      </c>
      <c r="I181" s="3">
        <v>58329</v>
      </c>
      <c r="J181" s="3">
        <v>33196</v>
      </c>
      <c r="K181" s="3">
        <v>85</v>
      </c>
      <c r="L181" s="1" t="s">
        <v>27</v>
      </c>
      <c r="M181" s="1" t="s">
        <v>18</v>
      </c>
    </row>
    <row r="182" spans="1:13" ht="15.75" customHeight="1">
      <c r="A182" s="1" t="s">
        <v>221</v>
      </c>
      <c r="B182" s="1" t="s">
        <v>24</v>
      </c>
      <c r="C182" s="4">
        <v>45370</v>
      </c>
      <c r="D182" s="1" t="s">
        <v>15</v>
      </c>
      <c r="E182" s="1" t="s">
        <v>49</v>
      </c>
      <c r="F182" s="3">
        <v>2191</v>
      </c>
      <c r="G182" s="3">
        <v>288</v>
      </c>
      <c r="H182" s="3">
        <v>83</v>
      </c>
      <c r="I182" s="3">
        <v>59606</v>
      </c>
      <c r="J182" s="3">
        <v>24765</v>
      </c>
      <c r="K182" s="3">
        <v>281</v>
      </c>
      <c r="L182" s="1" t="s">
        <v>45</v>
      </c>
      <c r="M182" s="1" t="s">
        <v>22</v>
      </c>
    </row>
    <row r="183" spans="1:13" ht="15.75" customHeight="1">
      <c r="A183" s="1" t="s">
        <v>222</v>
      </c>
      <c r="B183" s="1" t="s">
        <v>14</v>
      </c>
      <c r="C183" s="4">
        <v>45370</v>
      </c>
      <c r="D183" s="1" t="s">
        <v>15</v>
      </c>
      <c r="E183" s="1" t="s">
        <v>49</v>
      </c>
      <c r="F183" s="3">
        <v>2878</v>
      </c>
      <c r="G183" s="3">
        <v>278</v>
      </c>
      <c r="H183" s="3">
        <v>255</v>
      </c>
      <c r="I183" s="3">
        <v>47235</v>
      </c>
      <c r="J183" s="3">
        <v>57922</v>
      </c>
      <c r="K183" s="3">
        <v>112</v>
      </c>
      <c r="L183" s="1" t="s">
        <v>17</v>
      </c>
      <c r="M183" s="1" t="s">
        <v>18</v>
      </c>
    </row>
    <row r="184" spans="1:13" ht="15.75" customHeight="1">
      <c r="A184" s="1" t="s">
        <v>223</v>
      </c>
      <c r="B184" s="1" t="s">
        <v>24</v>
      </c>
      <c r="C184" s="4">
        <v>45496</v>
      </c>
      <c r="D184" s="1" t="s">
        <v>15</v>
      </c>
      <c r="E184" s="1" t="s">
        <v>41</v>
      </c>
      <c r="F184" s="3">
        <v>3204</v>
      </c>
      <c r="G184" s="3">
        <v>398</v>
      </c>
      <c r="H184" s="3">
        <v>85</v>
      </c>
      <c r="I184" s="3">
        <v>22020</v>
      </c>
      <c r="J184" s="3">
        <v>58353</v>
      </c>
      <c r="K184" s="3">
        <v>286</v>
      </c>
      <c r="L184" s="1" t="s">
        <v>45</v>
      </c>
      <c r="M184" s="1" t="s">
        <v>22</v>
      </c>
    </row>
    <row r="185" spans="1:13" ht="15.75" customHeight="1">
      <c r="A185" s="1" t="s">
        <v>224</v>
      </c>
      <c r="B185" s="1" t="s">
        <v>24</v>
      </c>
      <c r="C185" s="4">
        <v>45486</v>
      </c>
      <c r="D185" s="1" t="s">
        <v>25</v>
      </c>
      <c r="E185" s="1" t="s">
        <v>37</v>
      </c>
      <c r="F185" s="3">
        <v>2408</v>
      </c>
      <c r="G185" s="3">
        <v>323</v>
      </c>
      <c r="H185" s="3">
        <v>251</v>
      </c>
      <c r="I185" s="3">
        <v>47599</v>
      </c>
      <c r="J185" s="3">
        <v>35543</v>
      </c>
      <c r="K185" s="3">
        <v>287</v>
      </c>
      <c r="L185" s="1" t="s">
        <v>27</v>
      </c>
      <c r="M185" s="1" t="s">
        <v>18</v>
      </c>
    </row>
    <row r="186" spans="1:13" ht="15.75" customHeight="1">
      <c r="A186" s="1" t="s">
        <v>225</v>
      </c>
      <c r="B186" s="1" t="s">
        <v>31</v>
      </c>
      <c r="C186" s="4">
        <v>45769</v>
      </c>
      <c r="D186" s="1" t="s">
        <v>57</v>
      </c>
      <c r="E186" s="1" t="s">
        <v>26</v>
      </c>
      <c r="F186" s="3">
        <v>2733</v>
      </c>
      <c r="G186" s="3">
        <v>297</v>
      </c>
      <c r="H186" s="3">
        <v>235</v>
      </c>
      <c r="I186" s="3">
        <v>37980</v>
      </c>
      <c r="J186" s="3">
        <v>33058</v>
      </c>
      <c r="K186" s="3">
        <v>219</v>
      </c>
      <c r="L186" s="1" t="s">
        <v>58</v>
      </c>
      <c r="M186" s="1" t="s">
        <v>59</v>
      </c>
    </row>
    <row r="187" spans="1:13" ht="15.75" customHeight="1">
      <c r="A187" s="1" t="s">
        <v>226</v>
      </c>
      <c r="B187" s="1" t="s">
        <v>24</v>
      </c>
      <c r="C187" s="4">
        <v>45459</v>
      </c>
      <c r="D187" s="1" t="s">
        <v>25</v>
      </c>
      <c r="E187" s="1" t="s">
        <v>20</v>
      </c>
      <c r="F187" s="3">
        <v>4618</v>
      </c>
      <c r="G187" s="3">
        <v>312</v>
      </c>
      <c r="H187" s="3">
        <v>254</v>
      </c>
      <c r="I187" s="3">
        <v>22571</v>
      </c>
      <c r="J187" s="3">
        <v>29453</v>
      </c>
      <c r="K187" s="3">
        <v>197</v>
      </c>
      <c r="L187" s="1" t="s">
        <v>27</v>
      </c>
      <c r="M187" s="1" t="s">
        <v>18</v>
      </c>
    </row>
    <row r="188" spans="1:13" ht="15.75" customHeight="1">
      <c r="A188" s="1" t="s">
        <v>227</v>
      </c>
      <c r="B188" s="1" t="s">
        <v>31</v>
      </c>
      <c r="C188" s="4">
        <v>45795</v>
      </c>
      <c r="D188" s="1" t="s">
        <v>57</v>
      </c>
      <c r="E188" s="1" t="s">
        <v>29</v>
      </c>
      <c r="F188" s="3">
        <v>4210</v>
      </c>
      <c r="G188" s="3">
        <v>319</v>
      </c>
      <c r="H188" s="3">
        <v>350</v>
      </c>
      <c r="I188" s="3">
        <v>37762</v>
      </c>
      <c r="J188" s="3">
        <v>55162</v>
      </c>
      <c r="K188" s="3">
        <v>204</v>
      </c>
      <c r="L188" s="1" t="s">
        <v>58</v>
      </c>
      <c r="M188" s="1" t="s">
        <v>59</v>
      </c>
    </row>
    <row r="189" spans="1:13" ht="15.75" customHeight="1">
      <c r="A189" s="1" t="s">
        <v>228</v>
      </c>
      <c r="B189" s="1" t="s">
        <v>14</v>
      </c>
      <c r="C189" s="4">
        <v>45814</v>
      </c>
      <c r="D189" s="1" t="s">
        <v>15</v>
      </c>
      <c r="E189" s="1" t="s">
        <v>29</v>
      </c>
      <c r="F189" s="3">
        <v>3987</v>
      </c>
      <c r="G189" s="3">
        <v>171</v>
      </c>
      <c r="H189" s="3">
        <v>274</v>
      </c>
      <c r="I189" s="3">
        <v>45122</v>
      </c>
      <c r="J189" s="3">
        <v>65431</v>
      </c>
      <c r="K189" s="3">
        <v>168</v>
      </c>
      <c r="L189" s="1" t="s">
        <v>21</v>
      </c>
      <c r="M189" s="1" t="s">
        <v>22</v>
      </c>
    </row>
    <row r="190" spans="1:13" ht="15.75" customHeight="1">
      <c r="A190" s="1" t="s">
        <v>229</v>
      </c>
      <c r="B190" s="1" t="s">
        <v>31</v>
      </c>
      <c r="C190" s="4">
        <v>45708</v>
      </c>
      <c r="D190" s="1" t="s">
        <v>57</v>
      </c>
      <c r="E190" s="1" t="s">
        <v>37</v>
      </c>
      <c r="F190" s="3">
        <v>4957</v>
      </c>
      <c r="G190" s="3">
        <v>262</v>
      </c>
      <c r="H190" s="3">
        <v>365</v>
      </c>
      <c r="I190" s="3">
        <v>49199</v>
      </c>
      <c r="J190" s="3">
        <v>40314</v>
      </c>
      <c r="K190" s="3">
        <v>216</v>
      </c>
      <c r="L190" s="1" t="s">
        <v>58</v>
      </c>
      <c r="M190" s="1" t="s">
        <v>59</v>
      </c>
    </row>
    <row r="191" spans="1:13" ht="15.75" customHeight="1">
      <c r="A191" s="1" t="s">
        <v>230</v>
      </c>
      <c r="B191" s="1" t="s">
        <v>14</v>
      </c>
      <c r="C191" s="4">
        <v>45673</v>
      </c>
      <c r="D191" s="1" t="s">
        <v>15</v>
      </c>
      <c r="E191" s="1" t="s">
        <v>32</v>
      </c>
      <c r="F191" s="3">
        <v>2605</v>
      </c>
      <c r="G191" s="3">
        <v>282</v>
      </c>
      <c r="H191" s="3">
        <v>148</v>
      </c>
      <c r="I191" s="3">
        <v>32201</v>
      </c>
      <c r="J191" s="3">
        <v>49583</v>
      </c>
      <c r="K191" s="3">
        <v>241</v>
      </c>
      <c r="L191" s="1" t="s">
        <v>17</v>
      </c>
      <c r="M191" s="1" t="s">
        <v>18</v>
      </c>
    </row>
    <row r="192" spans="1:13" ht="15.75" customHeight="1">
      <c r="A192" s="1" t="s">
        <v>231</v>
      </c>
      <c r="B192" s="1" t="s">
        <v>31</v>
      </c>
      <c r="C192" s="4">
        <v>45346</v>
      </c>
      <c r="D192" s="1" t="s">
        <v>57</v>
      </c>
      <c r="E192" s="1" t="s">
        <v>16</v>
      </c>
      <c r="F192" s="3">
        <v>4221</v>
      </c>
      <c r="G192" s="3">
        <v>307</v>
      </c>
      <c r="H192" s="3">
        <v>58</v>
      </c>
      <c r="I192" s="3">
        <v>45080</v>
      </c>
      <c r="J192" s="3">
        <v>37214</v>
      </c>
      <c r="K192" s="3">
        <v>240</v>
      </c>
      <c r="L192" s="1" t="s">
        <v>58</v>
      </c>
      <c r="M192" s="1" t="s">
        <v>59</v>
      </c>
    </row>
    <row r="193" spans="1:13" ht="15.75" customHeight="1">
      <c r="A193" s="1" t="s">
        <v>232</v>
      </c>
      <c r="B193" s="1" t="s">
        <v>24</v>
      </c>
      <c r="C193" s="4">
        <v>45551</v>
      </c>
      <c r="D193" s="1" t="s">
        <v>25</v>
      </c>
      <c r="E193" s="1" t="s">
        <v>35</v>
      </c>
      <c r="F193" s="3">
        <v>4422</v>
      </c>
      <c r="G193" s="3">
        <v>434</v>
      </c>
      <c r="H193" s="3">
        <v>156</v>
      </c>
      <c r="I193" s="3">
        <v>56165</v>
      </c>
      <c r="J193" s="3">
        <v>52431</v>
      </c>
      <c r="K193" s="3">
        <v>173</v>
      </c>
      <c r="L193" s="1" t="s">
        <v>39</v>
      </c>
      <c r="M193" s="1" t="s">
        <v>18</v>
      </c>
    </row>
    <row r="194" spans="1:13" ht="15.75" customHeight="1">
      <c r="A194" s="1" t="s">
        <v>233</v>
      </c>
      <c r="B194" s="1" t="s">
        <v>31</v>
      </c>
      <c r="C194" s="4">
        <v>45447</v>
      </c>
      <c r="D194" s="1" t="s">
        <v>57</v>
      </c>
      <c r="E194" s="1" t="s">
        <v>29</v>
      </c>
      <c r="F194" s="3">
        <v>1211</v>
      </c>
      <c r="G194" s="3">
        <v>431</v>
      </c>
      <c r="H194" s="3">
        <v>83</v>
      </c>
      <c r="I194" s="3">
        <v>26532</v>
      </c>
      <c r="J194" s="3">
        <v>47305</v>
      </c>
      <c r="K194" s="3">
        <v>232</v>
      </c>
      <c r="L194" s="1" t="s">
        <v>58</v>
      </c>
      <c r="M194" s="1" t="s">
        <v>59</v>
      </c>
    </row>
    <row r="195" spans="1:13" ht="15.75" customHeight="1">
      <c r="A195" s="1" t="s">
        <v>234</v>
      </c>
      <c r="B195" s="1" t="s">
        <v>24</v>
      </c>
      <c r="C195" s="4">
        <v>45422</v>
      </c>
      <c r="D195" s="1" t="s">
        <v>25</v>
      </c>
      <c r="E195" s="1" t="s">
        <v>20</v>
      </c>
      <c r="F195" s="3">
        <v>2784</v>
      </c>
      <c r="G195" s="3">
        <v>111</v>
      </c>
      <c r="H195" s="3">
        <v>399</v>
      </c>
      <c r="I195" s="3">
        <v>58366</v>
      </c>
      <c r="J195" s="3">
        <v>69512</v>
      </c>
      <c r="K195" s="3">
        <v>269</v>
      </c>
      <c r="L195" s="1" t="s">
        <v>27</v>
      </c>
      <c r="M195" s="1" t="s">
        <v>18</v>
      </c>
    </row>
    <row r="196" spans="1:13" ht="15.75" customHeight="1">
      <c r="A196" s="1" t="s">
        <v>235</v>
      </c>
      <c r="B196" s="1" t="s">
        <v>31</v>
      </c>
      <c r="C196" s="4">
        <v>45305</v>
      </c>
      <c r="D196" s="1" t="s">
        <v>15</v>
      </c>
      <c r="E196" s="1" t="s">
        <v>26</v>
      </c>
      <c r="F196" s="3">
        <v>3634</v>
      </c>
      <c r="G196" s="3">
        <v>280</v>
      </c>
      <c r="H196" s="3">
        <v>399</v>
      </c>
      <c r="I196" s="3">
        <v>40256</v>
      </c>
      <c r="J196" s="3">
        <v>52605</v>
      </c>
      <c r="K196" s="3">
        <v>213</v>
      </c>
      <c r="L196" s="1" t="s">
        <v>33</v>
      </c>
      <c r="M196" s="1" t="s">
        <v>22</v>
      </c>
    </row>
    <row r="197" spans="1:13" ht="15.75" customHeight="1">
      <c r="A197" s="1" t="s">
        <v>236</v>
      </c>
      <c r="B197" s="1" t="s">
        <v>14</v>
      </c>
      <c r="C197" s="4">
        <v>45669</v>
      </c>
      <c r="D197" s="1" t="s">
        <v>15</v>
      </c>
      <c r="E197" s="1" t="s">
        <v>49</v>
      </c>
      <c r="F197" s="3">
        <v>1771</v>
      </c>
      <c r="G197" s="3">
        <v>487</v>
      </c>
      <c r="H197" s="3">
        <v>272</v>
      </c>
      <c r="I197" s="3">
        <v>48810</v>
      </c>
      <c r="J197" s="3">
        <v>48084</v>
      </c>
      <c r="K197" s="3">
        <v>272</v>
      </c>
      <c r="L197" s="1" t="s">
        <v>17</v>
      </c>
      <c r="M197" s="1" t="s">
        <v>18</v>
      </c>
    </row>
    <row r="198" spans="1:13" ht="15.75" customHeight="1">
      <c r="A198" s="1" t="s">
        <v>237</v>
      </c>
      <c r="B198" s="1" t="s">
        <v>31</v>
      </c>
      <c r="C198" s="4">
        <v>45634</v>
      </c>
      <c r="D198" s="1" t="s">
        <v>15</v>
      </c>
      <c r="E198" s="1" t="s">
        <v>41</v>
      </c>
      <c r="F198" s="3">
        <v>1424</v>
      </c>
      <c r="G198" s="3">
        <v>396</v>
      </c>
      <c r="H198" s="3">
        <v>312</v>
      </c>
      <c r="I198" s="3">
        <v>59517</v>
      </c>
      <c r="J198" s="3">
        <v>46102</v>
      </c>
      <c r="K198" s="3">
        <v>239</v>
      </c>
      <c r="L198" s="1" t="s">
        <v>33</v>
      </c>
      <c r="M198" s="1" t="s">
        <v>22</v>
      </c>
    </row>
    <row r="199" spans="1:13" ht="15.75" customHeight="1">
      <c r="A199" s="1" t="s">
        <v>238</v>
      </c>
      <c r="B199" s="1" t="s">
        <v>24</v>
      </c>
      <c r="C199" s="4">
        <v>45689</v>
      </c>
      <c r="D199" s="1" t="s">
        <v>25</v>
      </c>
      <c r="E199" s="1" t="s">
        <v>41</v>
      </c>
      <c r="F199" s="3">
        <v>1079</v>
      </c>
      <c r="G199" s="3">
        <v>265</v>
      </c>
      <c r="H199" s="3">
        <v>190</v>
      </c>
      <c r="I199" s="3">
        <v>43786</v>
      </c>
      <c r="J199" s="3">
        <v>72428</v>
      </c>
      <c r="K199" s="3">
        <v>222</v>
      </c>
      <c r="L199" s="1" t="s">
        <v>17</v>
      </c>
      <c r="M199" s="1" t="s">
        <v>18</v>
      </c>
    </row>
    <row r="200" spans="1:13" ht="15.75" customHeight="1">
      <c r="A200" s="1" t="s">
        <v>239</v>
      </c>
      <c r="B200" s="1" t="s">
        <v>24</v>
      </c>
      <c r="C200" s="4">
        <v>45484</v>
      </c>
      <c r="D200" s="1" t="s">
        <v>25</v>
      </c>
      <c r="E200" s="1" t="s">
        <v>37</v>
      </c>
      <c r="F200" s="3">
        <v>4247</v>
      </c>
      <c r="G200" s="3">
        <v>179</v>
      </c>
      <c r="H200" s="3">
        <v>175</v>
      </c>
      <c r="I200" s="3">
        <v>32991</v>
      </c>
      <c r="J200" s="3">
        <v>70120</v>
      </c>
      <c r="K200" s="3">
        <v>276</v>
      </c>
      <c r="L200" s="1" t="s">
        <v>17</v>
      </c>
      <c r="M200" s="1" t="s">
        <v>18</v>
      </c>
    </row>
    <row r="201" spans="1:13" ht="15.75" customHeight="1">
      <c r="A201" s="1" t="s">
        <v>240</v>
      </c>
      <c r="B201" s="1" t="s">
        <v>24</v>
      </c>
      <c r="C201" s="4">
        <v>45369</v>
      </c>
      <c r="D201" s="1" t="s">
        <v>15</v>
      </c>
      <c r="E201" s="1" t="s">
        <v>26</v>
      </c>
      <c r="F201" s="3">
        <v>2033</v>
      </c>
      <c r="G201" s="3">
        <v>420</v>
      </c>
      <c r="H201" s="3">
        <v>94</v>
      </c>
      <c r="I201" s="3">
        <v>56290</v>
      </c>
      <c r="J201" s="3">
        <v>57391</v>
      </c>
      <c r="K201" s="3">
        <v>196</v>
      </c>
      <c r="L201" s="1" t="s">
        <v>42</v>
      </c>
      <c r="M201" s="1" t="s">
        <v>18</v>
      </c>
    </row>
    <row r="202" spans="1:13" ht="15.75" customHeight="1">
      <c r="A202" s="1" t="s">
        <v>241</v>
      </c>
      <c r="B202" s="1" t="s">
        <v>24</v>
      </c>
      <c r="C202" s="4">
        <v>45547</v>
      </c>
      <c r="D202" s="1" t="s">
        <v>25</v>
      </c>
      <c r="E202" s="1" t="s">
        <v>29</v>
      </c>
      <c r="F202" s="3">
        <v>1839</v>
      </c>
      <c r="G202" s="3">
        <v>223</v>
      </c>
      <c r="H202" s="3">
        <v>171</v>
      </c>
      <c r="I202" s="3">
        <v>35459</v>
      </c>
      <c r="J202" s="3">
        <v>69988</v>
      </c>
      <c r="K202" s="3">
        <v>114</v>
      </c>
      <c r="L202" s="1" t="s">
        <v>27</v>
      </c>
      <c r="M202" s="1" t="s">
        <v>18</v>
      </c>
    </row>
    <row r="203" spans="1:13" ht="15.75" customHeight="1">
      <c r="A203" s="1" t="s">
        <v>242</v>
      </c>
      <c r="B203" s="1" t="s">
        <v>24</v>
      </c>
      <c r="C203" s="4">
        <v>45302</v>
      </c>
      <c r="D203" s="1" t="s">
        <v>25</v>
      </c>
      <c r="E203" s="1" t="s">
        <v>29</v>
      </c>
      <c r="F203" s="3">
        <v>2340</v>
      </c>
      <c r="G203" s="3">
        <v>141</v>
      </c>
      <c r="H203" s="3">
        <v>206</v>
      </c>
      <c r="I203" s="3">
        <v>24916</v>
      </c>
      <c r="J203" s="3">
        <v>30582</v>
      </c>
      <c r="K203" s="3">
        <v>157</v>
      </c>
      <c r="L203" s="1" t="s">
        <v>17</v>
      </c>
      <c r="M203" s="1" t="s">
        <v>18</v>
      </c>
    </row>
    <row r="204" spans="1:13" ht="15.75" customHeight="1">
      <c r="A204" s="1" t="s">
        <v>243</v>
      </c>
      <c r="B204" s="1" t="s">
        <v>14</v>
      </c>
      <c r="C204" s="4">
        <v>45571</v>
      </c>
      <c r="D204" s="1" t="s">
        <v>15</v>
      </c>
      <c r="E204" s="1" t="s">
        <v>41</v>
      </c>
      <c r="F204" s="3">
        <v>2080</v>
      </c>
      <c r="G204" s="3">
        <v>389</v>
      </c>
      <c r="H204" s="3">
        <v>92</v>
      </c>
      <c r="I204" s="3">
        <v>30971</v>
      </c>
      <c r="J204" s="3">
        <v>25347</v>
      </c>
      <c r="K204" s="3">
        <v>111</v>
      </c>
      <c r="L204" s="1" t="s">
        <v>21</v>
      </c>
      <c r="M204" s="1" t="s">
        <v>22</v>
      </c>
    </row>
    <row r="205" spans="1:13" ht="15.75" customHeight="1">
      <c r="A205" s="1" t="s">
        <v>244</v>
      </c>
      <c r="B205" s="1" t="s">
        <v>24</v>
      </c>
      <c r="C205" s="4">
        <v>45656</v>
      </c>
      <c r="D205" s="1" t="s">
        <v>15</v>
      </c>
      <c r="E205" s="1" t="s">
        <v>37</v>
      </c>
      <c r="F205" s="3">
        <v>4214</v>
      </c>
      <c r="G205" s="3">
        <v>286</v>
      </c>
      <c r="H205" s="3">
        <v>127</v>
      </c>
      <c r="I205" s="3">
        <v>47293</v>
      </c>
      <c r="J205" s="3">
        <v>27184</v>
      </c>
      <c r="K205" s="3">
        <v>232</v>
      </c>
      <c r="L205" s="1" t="s">
        <v>42</v>
      </c>
      <c r="M205" s="1" t="s">
        <v>18</v>
      </c>
    </row>
    <row r="206" spans="1:13" ht="15.75" customHeight="1">
      <c r="A206" s="1" t="s">
        <v>245</v>
      </c>
      <c r="B206" s="1" t="s">
        <v>24</v>
      </c>
      <c r="C206" s="4">
        <v>45763</v>
      </c>
      <c r="D206" s="1" t="s">
        <v>15</v>
      </c>
      <c r="E206" s="1" t="s">
        <v>29</v>
      </c>
      <c r="F206" s="3">
        <v>3792</v>
      </c>
      <c r="G206" s="3">
        <v>315</v>
      </c>
      <c r="H206" s="3">
        <v>120</v>
      </c>
      <c r="I206" s="3">
        <v>54592</v>
      </c>
      <c r="J206" s="3">
        <v>67886</v>
      </c>
      <c r="K206" s="3">
        <v>117</v>
      </c>
      <c r="L206" s="1" t="s">
        <v>45</v>
      </c>
      <c r="M206" s="1" t="s">
        <v>22</v>
      </c>
    </row>
    <row r="207" spans="1:13" ht="15.75" customHeight="1">
      <c r="A207" s="1" t="s">
        <v>246</v>
      </c>
      <c r="B207" s="1" t="s">
        <v>24</v>
      </c>
      <c r="C207" s="4">
        <v>45525</v>
      </c>
      <c r="D207" s="1" t="s">
        <v>25</v>
      </c>
      <c r="E207" s="1" t="s">
        <v>20</v>
      </c>
      <c r="F207" s="3">
        <v>3989</v>
      </c>
      <c r="G207" s="3">
        <v>476</v>
      </c>
      <c r="H207" s="3">
        <v>128</v>
      </c>
      <c r="I207" s="3">
        <v>57569</v>
      </c>
      <c r="J207" s="3">
        <v>40193</v>
      </c>
      <c r="K207" s="3">
        <v>222</v>
      </c>
      <c r="L207" s="1" t="s">
        <v>39</v>
      </c>
      <c r="M207" s="1" t="s">
        <v>18</v>
      </c>
    </row>
    <row r="208" spans="1:13" ht="15.75" customHeight="1">
      <c r="A208" s="1" t="s">
        <v>247</v>
      </c>
      <c r="B208" s="1" t="s">
        <v>24</v>
      </c>
      <c r="C208" s="4">
        <v>45387</v>
      </c>
      <c r="D208" s="1" t="s">
        <v>25</v>
      </c>
      <c r="E208" s="1" t="s">
        <v>29</v>
      </c>
      <c r="F208" s="3">
        <v>2857</v>
      </c>
      <c r="G208" s="3">
        <v>443</v>
      </c>
      <c r="H208" s="3">
        <v>359</v>
      </c>
      <c r="I208" s="3">
        <v>51519</v>
      </c>
      <c r="J208" s="3">
        <v>28256</v>
      </c>
      <c r="K208" s="3">
        <v>155</v>
      </c>
      <c r="L208" s="1" t="s">
        <v>17</v>
      </c>
      <c r="M208" s="1" t="s">
        <v>18</v>
      </c>
    </row>
    <row r="209" spans="1:13" ht="15.75" customHeight="1">
      <c r="A209" s="1" t="s">
        <v>248</v>
      </c>
      <c r="B209" s="1" t="s">
        <v>24</v>
      </c>
      <c r="C209" s="4">
        <v>45754</v>
      </c>
      <c r="D209" s="1" t="s">
        <v>15</v>
      </c>
      <c r="E209" s="1" t="s">
        <v>49</v>
      </c>
      <c r="F209" s="3">
        <v>1403</v>
      </c>
      <c r="G209" s="3">
        <v>385</v>
      </c>
      <c r="H209" s="3">
        <v>344</v>
      </c>
      <c r="I209" s="3">
        <v>54223</v>
      </c>
      <c r="J209" s="3">
        <v>72595</v>
      </c>
      <c r="K209" s="3">
        <v>239</v>
      </c>
      <c r="L209" s="1" t="s">
        <v>45</v>
      </c>
      <c r="M209" s="1" t="s">
        <v>22</v>
      </c>
    </row>
    <row r="210" spans="1:13" ht="15.75" customHeight="1">
      <c r="A210" s="1" t="s">
        <v>249</v>
      </c>
      <c r="B210" s="1" t="s">
        <v>24</v>
      </c>
      <c r="C210" s="4">
        <v>45492</v>
      </c>
      <c r="D210" s="1" t="s">
        <v>25</v>
      </c>
      <c r="E210" s="1" t="s">
        <v>35</v>
      </c>
      <c r="F210" s="3">
        <v>3071</v>
      </c>
      <c r="G210" s="3">
        <v>126</v>
      </c>
      <c r="H210" s="3">
        <v>200</v>
      </c>
      <c r="I210" s="3">
        <v>44013</v>
      </c>
      <c r="J210" s="3">
        <v>44679</v>
      </c>
      <c r="K210" s="3">
        <v>118</v>
      </c>
      <c r="L210" s="1" t="s">
        <v>39</v>
      </c>
      <c r="M210" s="1" t="s">
        <v>18</v>
      </c>
    </row>
    <row r="211" spans="1:13" ht="15.75" customHeight="1">
      <c r="A211" s="1" t="s">
        <v>250</v>
      </c>
      <c r="B211" s="1" t="s">
        <v>24</v>
      </c>
      <c r="C211" s="4">
        <v>45780</v>
      </c>
      <c r="D211" s="1" t="s">
        <v>25</v>
      </c>
      <c r="E211" s="1" t="s">
        <v>41</v>
      </c>
      <c r="F211" s="3">
        <v>1010</v>
      </c>
      <c r="G211" s="3">
        <v>361</v>
      </c>
      <c r="H211" s="3">
        <v>240</v>
      </c>
      <c r="I211" s="3">
        <v>47229</v>
      </c>
      <c r="J211" s="3">
        <v>72573</v>
      </c>
      <c r="K211" s="3">
        <v>275</v>
      </c>
      <c r="L211" s="1" t="s">
        <v>17</v>
      </c>
      <c r="M211" s="1" t="s">
        <v>18</v>
      </c>
    </row>
    <row r="212" spans="1:13" ht="15.75" customHeight="1">
      <c r="A212" s="1" t="s">
        <v>251</v>
      </c>
      <c r="B212" s="1" t="s">
        <v>24</v>
      </c>
      <c r="C212" s="4">
        <v>45396</v>
      </c>
      <c r="D212" s="1" t="s">
        <v>25</v>
      </c>
      <c r="E212" s="1" t="s">
        <v>16</v>
      </c>
      <c r="F212" s="3">
        <v>1295</v>
      </c>
      <c r="G212" s="3">
        <v>153</v>
      </c>
      <c r="H212" s="3">
        <v>81</v>
      </c>
      <c r="I212" s="3">
        <v>48350</v>
      </c>
      <c r="J212" s="3">
        <v>61033</v>
      </c>
      <c r="K212" s="3">
        <v>232</v>
      </c>
      <c r="L212" s="1" t="s">
        <v>39</v>
      </c>
      <c r="M212" s="1" t="s">
        <v>18</v>
      </c>
    </row>
    <row r="213" spans="1:13" ht="15.75" customHeight="1">
      <c r="A213" s="1" t="s">
        <v>252</v>
      </c>
      <c r="B213" s="1" t="s">
        <v>24</v>
      </c>
      <c r="C213" s="4">
        <v>45827</v>
      </c>
      <c r="D213" s="1" t="s">
        <v>25</v>
      </c>
      <c r="E213" s="1" t="s">
        <v>35</v>
      </c>
      <c r="F213" s="3">
        <v>1433</v>
      </c>
      <c r="G213" s="3">
        <v>452</v>
      </c>
      <c r="H213" s="3">
        <v>305</v>
      </c>
      <c r="I213" s="3">
        <v>54541</v>
      </c>
      <c r="J213" s="3">
        <v>63700</v>
      </c>
      <c r="K213" s="3">
        <v>296</v>
      </c>
      <c r="L213" s="1" t="s">
        <v>39</v>
      </c>
      <c r="M213" s="1" t="s">
        <v>18</v>
      </c>
    </row>
    <row r="214" spans="1:13" ht="15.75" customHeight="1">
      <c r="A214" s="1" t="s">
        <v>253</v>
      </c>
      <c r="B214" s="1" t="s">
        <v>14</v>
      </c>
      <c r="C214" s="4">
        <v>45832</v>
      </c>
      <c r="D214" s="1" t="s">
        <v>25</v>
      </c>
      <c r="E214" s="1" t="s">
        <v>37</v>
      </c>
      <c r="F214" s="3">
        <v>4902</v>
      </c>
      <c r="G214" s="3">
        <v>422</v>
      </c>
      <c r="H214" s="3">
        <v>376</v>
      </c>
      <c r="I214" s="3">
        <v>31674</v>
      </c>
      <c r="J214" s="3">
        <v>53225</v>
      </c>
      <c r="K214" s="3">
        <v>147</v>
      </c>
      <c r="L214" s="1" t="s">
        <v>42</v>
      </c>
      <c r="M214" s="1" t="s">
        <v>55</v>
      </c>
    </row>
    <row r="215" spans="1:13" ht="15.75" customHeight="1">
      <c r="A215" s="1" t="s">
        <v>254</v>
      </c>
      <c r="B215" s="1" t="s">
        <v>24</v>
      </c>
      <c r="C215" s="4">
        <v>45574</v>
      </c>
      <c r="D215" s="1" t="s">
        <v>15</v>
      </c>
      <c r="E215" s="1" t="s">
        <v>29</v>
      </c>
      <c r="F215" s="3">
        <v>2659</v>
      </c>
      <c r="G215" s="3">
        <v>167</v>
      </c>
      <c r="H215" s="3">
        <v>73</v>
      </c>
      <c r="I215" s="3">
        <v>23090</v>
      </c>
      <c r="J215" s="3">
        <v>25872</v>
      </c>
      <c r="K215" s="3">
        <v>293</v>
      </c>
      <c r="L215" s="1" t="s">
        <v>45</v>
      </c>
      <c r="M215" s="1" t="s">
        <v>22</v>
      </c>
    </row>
    <row r="216" spans="1:13" ht="15.75" customHeight="1">
      <c r="A216" s="1" t="s">
        <v>255</v>
      </c>
      <c r="B216" s="1" t="s">
        <v>31</v>
      </c>
      <c r="C216" s="4">
        <v>45672</v>
      </c>
      <c r="D216" s="1" t="s">
        <v>15</v>
      </c>
      <c r="E216" s="1" t="s">
        <v>51</v>
      </c>
      <c r="F216" s="3">
        <v>2599</v>
      </c>
      <c r="G216" s="3">
        <v>324</v>
      </c>
      <c r="H216" s="3">
        <v>182</v>
      </c>
      <c r="I216" s="3">
        <v>37525</v>
      </c>
      <c r="J216" s="3">
        <v>37216</v>
      </c>
      <c r="K216" s="3">
        <v>186</v>
      </c>
      <c r="L216" s="1" t="s">
        <v>33</v>
      </c>
      <c r="M216" s="1" t="s">
        <v>22</v>
      </c>
    </row>
    <row r="217" spans="1:13" ht="15.75" customHeight="1">
      <c r="A217" s="1" t="s">
        <v>256</v>
      </c>
      <c r="B217" s="1" t="s">
        <v>24</v>
      </c>
      <c r="C217" s="4">
        <v>45669</v>
      </c>
      <c r="D217" s="1" t="s">
        <v>15</v>
      </c>
      <c r="E217" s="1" t="s">
        <v>32</v>
      </c>
      <c r="F217" s="3">
        <v>1765</v>
      </c>
      <c r="G217" s="3">
        <v>285</v>
      </c>
      <c r="H217" s="3">
        <v>100</v>
      </c>
      <c r="I217" s="3">
        <v>41313</v>
      </c>
      <c r="J217" s="3">
        <v>56575</v>
      </c>
      <c r="K217" s="3">
        <v>174</v>
      </c>
      <c r="L217" s="1" t="s">
        <v>45</v>
      </c>
      <c r="M217" s="1" t="s">
        <v>22</v>
      </c>
    </row>
    <row r="218" spans="1:13" ht="15.75" customHeight="1">
      <c r="A218" s="1" t="s">
        <v>257</v>
      </c>
      <c r="B218" s="1" t="s">
        <v>14</v>
      </c>
      <c r="C218" s="4">
        <v>45808</v>
      </c>
      <c r="D218" s="1" t="s">
        <v>15</v>
      </c>
      <c r="E218" s="1" t="s">
        <v>35</v>
      </c>
      <c r="F218" s="3">
        <v>2169</v>
      </c>
      <c r="G218" s="3">
        <v>240</v>
      </c>
      <c r="H218" s="3">
        <v>57</v>
      </c>
      <c r="I218" s="3">
        <v>26109</v>
      </c>
      <c r="J218" s="3">
        <v>46667</v>
      </c>
      <c r="K218" s="3">
        <v>133</v>
      </c>
      <c r="L218" s="1" t="s">
        <v>17</v>
      </c>
      <c r="M218" s="1" t="s">
        <v>18</v>
      </c>
    </row>
    <row r="219" spans="1:13" ht="15.75" customHeight="1">
      <c r="A219" s="1" t="s">
        <v>258</v>
      </c>
      <c r="B219" s="1" t="s">
        <v>24</v>
      </c>
      <c r="C219" s="4">
        <v>45579</v>
      </c>
      <c r="D219" s="1" t="s">
        <v>25</v>
      </c>
      <c r="E219" s="1" t="s">
        <v>20</v>
      </c>
      <c r="F219" s="3">
        <v>4303</v>
      </c>
      <c r="G219" s="3">
        <v>306</v>
      </c>
      <c r="H219" s="3">
        <v>302</v>
      </c>
      <c r="I219" s="3">
        <v>39575</v>
      </c>
      <c r="J219" s="3">
        <v>33762</v>
      </c>
      <c r="K219" s="3">
        <v>265</v>
      </c>
      <c r="L219" s="1" t="s">
        <v>39</v>
      </c>
      <c r="M219" s="1" t="s">
        <v>18</v>
      </c>
    </row>
    <row r="220" spans="1:13" ht="15.75" customHeight="1">
      <c r="A220" s="1" t="s">
        <v>259</v>
      </c>
      <c r="B220" s="1" t="s">
        <v>24</v>
      </c>
      <c r="C220" s="4">
        <v>45332</v>
      </c>
      <c r="D220" s="1" t="s">
        <v>15</v>
      </c>
      <c r="E220" s="1" t="s">
        <v>49</v>
      </c>
      <c r="F220" s="3">
        <v>1519</v>
      </c>
      <c r="G220" s="3">
        <v>456</v>
      </c>
      <c r="H220" s="3">
        <v>379</v>
      </c>
      <c r="I220" s="3">
        <v>51611</v>
      </c>
      <c r="J220" s="3">
        <v>45880</v>
      </c>
      <c r="K220" s="3">
        <v>176</v>
      </c>
      <c r="L220" s="1" t="s">
        <v>45</v>
      </c>
      <c r="M220" s="1" t="s">
        <v>22</v>
      </c>
    </row>
    <row r="221" spans="1:13" ht="15.75" customHeight="1">
      <c r="A221" s="1" t="s">
        <v>260</v>
      </c>
      <c r="B221" s="1" t="s">
        <v>31</v>
      </c>
      <c r="C221" s="4">
        <v>45636</v>
      </c>
      <c r="D221" s="1" t="s">
        <v>15</v>
      </c>
      <c r="E221" s="1" t="s">
        <v>35</v>
      </c>
      <c r="F221" s="3">
        <v>2569</v>
      </c>
      <c r="G221" s="3">
        <v>140</v>
      </c>
      <c r="H221" s="3">
        <v>375</v>
      </c>
      <c r="I221" s="3">
        <v>38372</v>
      </c>
      <c r="J221" s="3">
        <v>22102</v>
      </c>
      <c r="K221" s="3">
        <v>255</v>
      </c>
      <c r="L221" s="1" t="s">
        <v>33</v>
      </c>
      <c r="M221" s="1" t="s">
        <v>22</v>
      </c>
    </row>
    <row r="222" spans="1:13" ht="15.75" customHeight="1">
      <c r="A222" s="1" t="s">
        <v>261</v>
      </c>
      <c r="B222" s="1" t="s">
        <v>24</v>
      </c>
      <c r="C222" s="4">
        <v>45786</v>
      </c>
      <c r="D222" s="1" t="s">
        <v>25</v>
      </c>
      <c r="E222" s="1" t="s">
        <v>32</v>
      </c>
      <c r="F222" s="3">
        <v>2778</v>
      </c>
      <c r="G222" s="3">
        <v>241</v>
      </c>
      <c r="H222" s="3">
        <v>317</v>
      </c>
      <c r="I222" s="3">
        <v>26247</v>
      </c>
      <c r="J222" s="3">
        <v>20677</v>
      </c>
      <c r="K222" s="3">
        <v>282</v>
      </c>
      <c r="L222" s="1" t="s">
        <v>27</v>
      </c>
      <c r="M222" s="1" t="s">
        <v>18</v>
      </c>
    </row>
    <row r="223" spans="1:13" ht="15.75" customHeight="1">
      <c r="A223" s="1" t="s">
        <v>262</v>
      </c>
      <c r="B223" s="1" t="s">
        <v>24</v>
      </c>
      <c r="C223" s="4">
        <v>45829</v>
      </c>
      <c r="D223" s="1" t="s">
        <v>15</v>
      </c>
      <c r="E223" s="1" t="s">
        <v>20</v>
      </c>
      <c r="F223" s="3">
        <v>3611</v>
      </c>
      <c r="G223" s="3">
        <v>127</v>
      </c>
      <c r="H223" s="3">
        <v>139</v>
      </c>
      <c r="I223" s="3">
        <v>44768</v>
      </c>
      <c r="J223" s="3">
        <v>29435</v>
      </c>
      <c r="K223" s="3">
        <v>178</v>
      </c>
      <c r="L223" s="1" t="s">
        <v>42</v>
      </c>
      <c r="M223" s="1" t="s">
        <v>18</v>
      </c>
    </row>
    <row r="224" spans="1:13" ht="15.75" customHeight="1">
      <c r="A224" s="1" t="s">
        <v>263</v>
      </c>
      <c r="B224" s="1" t="s">
        <v>24</v>
      </c>
      <c r="C224" s="4">
        <v>45462</v>
      </c>
      <c r="D224" s="1" t="s">
        <v>15</v>
      </c>
      <c r="E224" s="1" t="s">
        <v>35</v>
      </c>
      <c r="F224" s="3">
        <v>1224</v>
      </c>
      <c r="G224" s="3">
        <v>168</v>
      </c>
      <c r="H224" s="3">
        <v>199</v>
      </c>
      <c r="I224" s="3">
        <v>54232</v>
      </c>
      <c r="J224" s="3">
        <v>52844</v>
      </c>
      <c r="K224" s="3">
        <v>271</v>
      </c>
      <c r="L224" s="1" t="s">
        <v>45</v>
      </c>
      <c r="M224" s="1" t="s">
        <v>22</v>
      </c>
    </row>
    <row r="225" spans="1:13" ht="15.75" customHeight="1">
      <c r="A225" s="1" t="s">
        <v>264</v>
      </c>
      <c r="B225" s="1" t="s">
        <v>24</v>
      </c>
      <c r="C225" s="4">
        <v>45636</v>
      </c>
      <c r="D225" s="1" t="s">
        <v>15</v>
      </c>
      <c r="E225" s="1" t="s">
        <v>49</v>
      </c>
      <c r="F225" s="3">
        <v>4673</v>
      </c>
      <c r="G225" s="3">
        <v>270</v>
      </c>
      <c r="H225" s="3">
        <v>93</v>
      </c>
      <c r="I225" s="3">
        <v>45260</v>
      </c>
      <c r="J225" s="3">
        <v>57513</v>
      </c>
      <c r="K225" s="3">
        <v>103</v>
      </c>
      <c r="L225" s="1" t="s">
        <v>42</v>
      </c>
      <c r="M225" s="1" t="s">
        <v>18</v>
      </c>
    </row>
    <row r="226" spans="1:13" ht="15.75" customHeight="1">
      <c r="A226" s="1" t="s">
        <v>265</v>
      </c>
      <c r="B226" s="1" t="s">
        <v>31</v>
      </c>
      <c r="C226" s="4">
        <v>45323</v>
      </c>
      <c r="D226" s="1" t="s">
        <v>15</v>
      </c>
      <c r="E226" s="1" t="s">
        <v>29</v>
      </c>
      <c r="F226" s="3">
        <v>1432</v>
      </c>
      <c r="G226" s="3">
        <v>437</v>
      </c>
      <c r="H226" s="3">
        <v>267</v>
      </c>
      <c r="I226" s="3">
        <v>40634</v>
      </c>
      <c r="J226" s="3">
        <v>54511</v>
      </c>
      <c r="K226" s="3">
        <v>197</v>
      </c>
      <c r="L226" s="1" t="s">
        <v>33</v>
      </c>
      <c r="M226" s="1" t="s">
        <v>22</v>
      </c>
    </row>
    <row r="227" spans="1:13" ht="15.75" customHeight="1">
      <c r="A227" s="1" t="s">
        <v>266</v>
      </c>
      <c r="B227" s="1" t="s">
        <v>24</v>
      </c>
      <c r="C227" s="4">
        <v>45308</v>
      </c>
      <c r="D227" s="1" t="s">
        <v>25</v>
      </c>
      <c r="E227" s="1" t="s">
        <v>26</v>
      </c>
      <c r="F227" s="3">
        <v>2174</v>
      </c>
      <c r="G227" s="3">
        <v>499</v>
      </c>
      <c r="H227" s="3">
        <v>212</v>
      </c>
      <c r="I227" s="3">
        <v>54938</v>
      </c>
      <c r="J227" s="3">
        <v>27190</v>
      </c>
      <c r="K227" s="3">
        <v>265</v>
      </c>
      <c r="L227" s="1" t="s">
        <v>27</v>
      </c>
      <c r="M227" s="1" t="s">
        <v>18</v>
      </c>
    </row>
    <row r="228" spans="1:13" ht="15.75" customHeight="1">
      <c r="A228" s="1" t="s">
        <v>267</v>
      </c>
      <c r="B228" s="1" t="s">
        <v>31</v>
      </c>
      <c r="C228" s="4">
        <v>45738</v>
      </c>
      <c r="D228" s="1" t="s">
        <v>15</v>
      </c>
      <c r="E228" s="1" t="s">
        <v>32</v>
      </c>
      <c r="F228" s="3">
        <v>4308</v>
      </c>
      <c r="G228" s="3">
        <v>171</v>
      </c>
      <c r="H228" s="3">
        <v>106</v>
      </c>
      <c r="I228" s="3">
        <v>36955</v>
      </c>
      <c r="J228" s="3">
        <v>23949</v>
      </c>
      <c r="K228" s="3">
        <v>294</v>
      </c>
      <c r="L228" s="1" t="s">
        <v>33</v>
      </c>
      <c r="M228" s="1" t="s">
        <v>22</v>
      </c>
    </row>
    <row r="229" spans="1:13" ht="15.75" customHeight="1">
      <c r="A229" s="1" t="s">
        <v>268</v>
      </c>
      <c r="B229" s="1" t="s">
        <v>31</v>
      </c>
      <c r="C229" s="4">
        <v>45442</v>
      </c>
      <c r="D229" s="1" t="s">
        <v>57</v>
      </c>
      <c r="E229" s="1" t="s">
        <v>35</v>
      </c>
      <c r="F229" s="3">
        <v>1060</v>
      </c>
      <c r="G229" s="3">
        <v>442</v>
      </c>
      <c r="H229" s="3">
        <v>319</v>
      </c>
      <c r="I229" s="3">
        <v>57194</v>
      </c>
      <c r="J229" s="3">
        <v>24258</v>
      </c>
      <c r="K229" s="3">
        <v>101</v>
      </c>
      <c r="L229" s="1" t="s">
        <v>58</v>
      </c>
      <c r="M229" s="1" t="s">
        <v>59</v>
      </c>
    </row>
    <row r="230" spans="1:13" ht="15.75" customHeight="1">
      <c r="A230" s="1" t="s">
        <v>269</v>
      </c>
      <c r="B230" s="1" t="s">
        <v>31</v>
      </c>
      <c r="C230" s="4">
        <v>45346</v>
      </c>
      <c r="D230" s="1" t="s">
        <v>15</v>
      </c>
      <c r="E230" s="1" t="s">
        <v>32</v>
      </c>
      <c r="F230" s="3">
        <v>4653</v>
      </c>
      <c r="G230" s="3">
        <v>226</v>
      </c>
      <c r="H230" s="3">
        <v>349</v>
      </c>
      <c r="I230" s="3">
        <v>56876</v>
      </c>
      <c r="J230" s="3">
        <v>28452</v>
      </c>
      <c r="K230" s="3">
        <v>257</v>
      </c>
      <c r="L230" s="1" t="s">
        <v>33</v>
      </c>
      <c r="M230" s="1" t="s">
        <v>22</v>
      </c>
    </row>
    <row r="231" spans="1:13" ht="15.75" customHeight="1">
      <c r="A231" s="1" t="s">
        <v>270</v>
      </c>
      <c r="B231" s="1" t="s">
        <v>31</v>
      </c>
      <c r="C231" s="4">
        <v>45791</v>
      </c>
      <c r="D231" s="1" t="s">
        <v>15</v>
      </c>
      <c r="E231" s="1" t="s">
        <v>16</v>
      </c>
      <c r="F231" s="3">
        <v>1701</v>
      </c>
      <c r="G231" s="3">
        <v>272</v>
      </c>
      <c r="H231" s="3">
        <v>385</v>
      </c>
      <c r="I231" s="3">
        <v>47496</v>
      </c>
      <c r="J231" s="3">
        <v>40832</v>
      </c>
      <c r="K231" s="3">
        <v>246</v>
      </c>
      <c r="L231" s="1" t="s">
        <v>33</v>
      </c>
      <c r="M231" s="1" t="s">
        <v>22</v>
      </c>
    </row>
    <row r="232" spans="1:13" ht="15.75" customHeight="1">
      <c r="A232" s="1" t="s">
        <v>271</v>
      </c>
      <c r="B232" s="1" t="s">
        <v>14</v>
      </c>
      <c r="C232" s="4">
        <v>45379</v>
      </c>
      <c r="D232" s="1" t="s">
        <v>15</v>
      </c>
      <c r="E232" s="1" t="s">
        <v>35</v>
      </c>
      <c r="F232" s="3">
        <v>1673</v>
      </c>
      <c r="G232" s="3">
        <v>280</v>
      </c>
      <c r="H232" s="3">
        <v>67</v>
      </c>
      <c r="I232" s="3">
        <v>29847</v>
      </c>
      <c r="J232" s="3">
        <v>48016</v>
      </c>
      <c r="K232" s="3">
        <v>213</v>
      </c>
      <c r="L232" s="1" t="s">
        <v>17</v>
      </c>
      <c r="M232" s="1" t="s">
        <v>18</v>
      </c>
    </row>
    <row r="233" spans="1:13" ht="15.75" customHeight="1">
      <c r="A233" s="1" t="s">
        <v>272</v>
      </c>
      <c r="B233" s="1" t="s">
        <v>31</v>
      </c>
      <c r="C233" s="4">
        <v>45723</v>
      </c>
      <c r="D233" s="1" t="s">
        <v>15</v>
      </c>
      <c r="E233" s="1" t="s">
        <v>41</v>
      </c>
      <c r="F233" s="3">
        <v>4310</v>
      </c>
      <c r="G233" s="3">
        <v>284</v>
      </c>
      <c r="H233" s="3">
        <v>306</v>
      </c>
      <c r="I233" s="3">
        <v>44606</v>
      </c>
      <c r="J233" s="3">
        <v>42604</v>
      </c>
      <c r="K233" s="3">
        <v>290</v>
      </c>
      <c r="L233" s="1" t="s">
        <v>33</v>
      </c>
      <c r="M233" s="1" t="s">
        <v>22</v>
      </c>
    </row>
    <row r="234" spans="1:13" ht="15.75" customHeight="1">
      <c r="A234" s="1" t="s">
        <v>273</v>
      </c>
      <c r="B234" s="1" t="s">
        <v>24</v>
      </c>
      <c r="C234" s="4">
        <v>45585</v>
      </c>
      <c r="D234" s="1" t="s">
        <v>15</v>
      </c>
      <c r="E234" s="1" t="s">
        <v>49</v>
      </c>
      <c r="F234" s="3">
        <v>2752</v>
      </c>
      <c r="G234" s="3">
        <v>309</v>
      </c>
      <c r="H234" s="3">
        <v>91</v>
      </c>
      <c r="I234" s="3">
        <v>39038</v>
      </c>
      <c r="J234" s="3">
        <v>28095</v>
      </c>
      <c r="K234" s="3">
        <v>277</v>
      </c>
      <c r="L234" s="1" t="s">
        <v>42</v>
      </c>
      <c r="M234" s="1" t="s">
        <v>18</v>
      </c>
    </row>
    <row r="235" spans="1:13" ht="15.75" customHeight="1">
      <c r="A235" s="1" t="s">
        <v>274</v>
      </c>
      <c r="B235" s="1" t="s">
        <v>24</v>
      </c>
      <c r="C235" s="4">
        <v>45324</v>
      </c>
      <c r="D235" s="1" t="s">
        <v>15</v>
      </c>
      <c r="E235" s="1" t="s">
        <v>49</v>
      </c>
      <c r="F235" s="3">
        <v>3818</v>
      </c>
      <c r="G235" s="3">
        <v>115</v>
      </c>
      <c r="H235" s="3">
        <v>286</v>
      </c>
      <c r="I235" s="3">
        <v>25127</v>
      </c>
      <c r="J235" s="3">
        <v>22277</v>
      </c>
      <c r="K235" s="3">
        <v>263</v>
      </c>
      <c r="L235" s="1" t="s">
        <v>42</v>
      </c>
      <c r="M235" s="1" t="s">
        <v>18</v>
      </c>
    </row>
    <row r="236" spans="1:13" ht="15.75" customHeight="1">
      <c r="A236" s="1" t="s">
        <v>275</v>
      </c>
      <c r="B236" s="1" t="s">
        <v>31</v>
      </c>
      <c r="C236" s="4">
        <v>45542</v>
      </c>
      <c r="D236" s="1" t="s">
        <v>15</v>
      </c>
      <c r="E236" s="1" t="s">
        <v>51</v>
      </c>
      <c r="F236" s="3">
        <v>2101</v>
      </c>
      <c r="G236" s="3">
        <v>411</v>
      </c>
      <c r="H236" s="3">
        <v>190</v>
      </c>
      <c r="I236" s="3">
        <v>41791</v>
      </c>
      <c r="J236" s="3">
        <v>57090</v>
      </c>
      <c r="K236" s="3">
        <v>172</v>
      </c>
      <c r="L236" s="1" t="s">
        <v>33</v>
      </c>
      <c r="M236" s="1" t="s">
        <v>22</v>
      </c>
    </row>
    <row r="237" spans="1:13" ht="15.75" customHeight="1">
      <c r="A237" s="1" t="s">
        <v>276</v>
      </c>
      <c r="B237" s="1" t="s">
        <v>14</v>
      </c>
      <c r="C237" s="4">
        <v>45646</v>
      </c>
      <c r="D237" s="1" t="s">
        <v>15</v>
      </c>
      <c r="E237" s="1" t="s">
        <v>16</v>
      </c>
      <c r="F237" s="3">
        <v>2519</v>
      </c>
      <c r="G237" s="3">
        <v>202</v>
      </c>
      <c r="H237" s="3">
        <v>239</v>
      </c>
      <c r="I237" s="3">
        <v>36245</v>
      </c>
      <c r="J237" s="3">
        <v>48606</v>
      </c>
      <c r="K237" s="3">
        <v>145</v>
      </c>
      <c r="L237" s="1" t="s">
        <v>21</v>
      </c>
      <c r="M237" s="1" t="s">
        <v>22</v>
      </c>
    </row>
    <row r="238" spans="1:13" ht="15.75" customHeight="1">
      <c r="A238" s="1" t="s">
        <v>277</v>
      </c>
      <c r="B238" s="1" t="s">
        <v>31</v>
      </c>
      <c r="C238" s="4">
        <v>45305</v>
      </c>
      <c r="D238" s="1" t="s">
        <v>15</v>
      </c>
      <c r="E238" s="1" t="s">
        <v>35</v>
      </c>
      <c r="F238" s="3">
        <v>4502</v>
      </c>
      <c r="G238" s="3">
        <v>238</v>
      </c>
      <c r="H238" s="3">
        <v>386</v>
      </c>
      <c r="I238" s="3">
        <v>39198</v>
      </c>
      <c r="J238" s="3">
        <v>25050</v>
      </c>
      <c r="K238" s="3">
        <v>297</v>
      </c>
      <c r="L238" s="1" t="s">
        <v>33</v>
      </c>
      <c r="M238" s="1" t="s">
        <v>22</v>
      </c>
    </row>
    <row r="239" spans="1:13" ht="15.75" customHeight="1">
      <c r="A239" s="1" t="s">
        <v>278</v>
      </c>
      <c r="B239" s="1" t="s">
        <v>14</v>
      </c>
      <c r="C239" s="4">
        <v>45823</v>
      </c>
      <c r="D239" s="1" t="s">
        <v>15</v>
      </c>
      <c r="E239" s="1" t="s">
        <v>20</v>
      </c>
      <c r="F239" s="3">
        <v>2478</v>
      </c>
      <c r="G239" s="3">
        <v>427</v>
      </c>
      <c r="H239" s="3">
        <v>242</v>
      </c>
      <c r="I239" s="3">
        <v>59272</v>
      </c>
      <c r="J239" s="3">
        <v>37833</v>
      </c>
      <c r="K239" s="3">
        <v>214</v>
      </c>
      <c r="L239" s="1" t="s">
        <v>17</v>
      </c>
      <c r="M239" s="1" t="s">
        <v>18</v>
      </c>
    </row>
    <row r="240" spans="1:13" ht="15.75" customHeight="1">
      <c r="A240" s="1" t="s">
        <v>279</v>
      </c>
      <c r="B240" s="1" t="s">
        <v>24</v>
      </c>
      <c r="C240" s="4">
        <v>45639</v>
      </c>
      <c r="D240" s="1" t="s">
        <v>25</v>
      </c>
      <c r="E240" s="1" t="s">
        <v>26</v>
      </c>
      <c r="F240" s="3">
        <v>4984</v>
      </c>
      <c r="G240" s="3">
        <v>300</v>
      </c>
      <c r="H240" s="3">
        <v>338</v>
      </c>
      <c r="I240" s="3">
        <v>32900</v>
      </c>
      <c r="J240" s="3">
        <v>31691</v>
      </c>
      <c r="K240" s="3">
        <v>160</v>
      </c>
      <c r="L240" s="1" t="s">
        <v>27</v>
      </c>
      <c r="M240" s="1" t="s">
        <v>18</v>
      </c>
    </row>
    <row r="241" spans="1:13" ht="15.75" customHeight="1">
      <c r="A241" s="1" t="s">
        <v>280</v>
      </c>
      <c r="B241" s="1" t="s">
        <v>31</v>
      </c>
      <c r="C241" s="4">
        <v>45533</v>
      </c>
      <c r="D241" s="1" t="s">
        <v>15</v>
      </c>
      <c r="E241" s="1" t="s">
        <v>29</v>
      </c>
      <c r="F241" s="3">
        <v>4774</v>
      </c>
      <c r="G241" s="3">
        <v>389</v>
      </c>
      <c r="H241" s="3">
        <v>358</v>
      </c>
      <c r="I241" s="3">
        <v>52346</v>
      </c>
      <c r="J241" s="3">
        <v>30518</v>
      </c>
      <c r="K241" s="3">
        <v>277</v>
      </c>
      <c r="L241" s="1" t="s">
        <v>33</v>
      </c>
      <c r="M241" s="1" t="s">
        <v>22</v>
      </c>
    </row>
    <row r="242" spans="1:13" ht="15.75" customHeight="1">
      <c r="A242" s="1" t="s">
        <v>281</v>
      </c>
      <c r="B242" s="1" t="s">
        <v>24</v>
      </c>
      <c r="C242" s="4">
        <v>45550</v>
      </c>
      <c r="D242" s="1" t="s">
        <v>15</v>
      </c>
      <c r="E242" s="1" t="s">
        <v>37</v>
      </c>
      <c r="F242" s="3">
        <v>2145</v>
      </c>
      <c r="G242" s="3">
        <v>340</v>
      </c>
      <c r="H242" s="3">
        <v>85</v>
      </c>
      <c r="I242" s="3">
        <v>53323</v>
      </c>
      <c r="J242" s="3">
        <v>49938</v>
      </c>
      <c r="K242" s="3">
        <v>104</v>
      </c>
      <c r="L242" s="1" t="s">
        <v>42</v>
      </c>
      <c r="M242" s="1" t="s">
        <v>18</v>
      </c>
    </row>
    <row r="243" spans="1:13" ht="15.75" customHeight="1">
      <c r="A243" s="1" t="s">
        <v>282</v>
      </c>
      <c r="B243" s="1" t="s">
        <v>24</v>
      </c>
      <c r="C243" s="4">
        <v>45759</v>
      </c>
      <c r="D243" s="1" t="s">
        <v>25</v>
      </c>
      <c r="E243" s="1" t="s">
        <v>49</v>
      </c>
      <c r="F243" s="3">
        <v>4315</v>
      </c>
      <c r="G243" s="3">
        <v>208</v>
      </c>
      <c r="H243" s="3">
        <v>273</v>
      </c>
      <c r="I243" s="3">
        <v>35780</v>
      </c>
      <c r="J243" s="3">
        <v>44349</v>
      </c>
      <c r="K243" s="3">
        <v>133</v>
      </c>
      <c r="L243" s="1" t="s">
        <v>39</v>
      </c>
      <c r="M243" s="1" t="s">
        <v>18</v>
      </c>
    </row>
    <row r="244" spans="1:13" ht="15.75" customHeight="1">
      <c r="A244" s="1" t="s">
        <v>283</v>
      </c>
      <c r="B244" s="1" t="s">
        <v>24</v>
      </c>
      <c r="C244" s="4">
        <v>45636</v>
      </c>
      <c r="D244" s="1" t="s">
        <v>25</v>
      </c>
      <c r="E244" s="1" t="s">
        <v>29</v>
      </c>
      <c r="F244" s="3">
        <v>2267</v>
      </c>
      <c r="G244" s="3">
        <v>230</v>
      </c>
      <c r="H244" s="3">
        <v>243</v>
      </c>
      <c r="I244" s="3">
        <v>27904</v>
      </c>
      <c r="J244" s="3">
        <v>69771</v>
      </c>
      <c r="K244" s="3">
        <v>255</v>
      </c>
      <c r="L244" s="1" t="s">
        <v>39</v>
      </c>
      <c r="M244" s="1" t="s">
        <v>18</v>
      </c>
    </row>
    <row r="245" spans="1:13" ht="15.75" customHeight="1">
      <c r="A245" s="1" t="s">
        <v>284</v>
      </c>
      <c r="B245" s="1" t="s">
        <v>31</v>
      </c>
      <c r="C245" s="4">
        <v>45816</v>
      </c>
      <c r="D245" s="1" t="s">
        <v>15</v>
      </c>
      <c r="E245" s="1" t="s">
        <v>32</v>
      </c>
      <c r="F245" s="3">
        <v>4375</v>
      </c>
      <c r="G245" s="3">
        <v>303</v>
      </c>
      <c r="H245" s="3">
        <v>294</v>
      </c>
      <c r="I245" s="3">
        <v>57468</v>
      </c>
      <c r="J245" s="3">
        <v>53397</v>
      </c>
      <c r="K245" s="3">
        <v>159</v>
      </c>
      <c r="L245" s="1" t="s">
        <v>33</v>
      </c>
      <c r="M245" s="1" t="s">
        <v>22</v>
      </c>
    </row>
    <row r="246" spans="1:13" ht="15.75" customHeight="1">
      <c r="A246" s="1" t="s">
        <v>285</v>
      </c>
      <c r="B246" s="1" t="s">
        <v>24</v>
      </c>
      <c r="C246" s="4">
        <v>45666</v>
      </c>
      <c r="D246" s="1" t="s">
        <v>25</v>
      </c>
      <c r="E246" s="1" t="s">
        <v>51</v>
      </c>
      <c r="F246" s="3">
        <v>3817</v>
      </c>
      <c r="G246" s="3">
        <v>284</v>
      </c>
      <c r="H246" s="3">
        <v>204</v>
      </c>
      <c r="I246" s="3">
        <v>46434</v>
      </c>
      <c r="J246" s="3">
        <v>53396</v>
      </c>
      <c r="K246" s="3">
        <v>104</v>
      </c>
      <c r="L246" s="1" t="s">
        <v>27</v>
      </c>
      <c r="M246" s="1" t="s">
        <v>18</v>
      </c>
    </row>
    <row r="247" spans="1:13" ht="15.75" customHeight="1">
      <c r="A247" s="1" t="s">
        <v>286</v>
      </c>
      <c r="B247" s="1" t="s">
        <v>24</v>
      </c>
      <c r="C247" s="4">
        <v>45481</v>
      </c>
      <c r="D247" s="1" t="s">
        <v>25</v>
      </c>
      <c r="E247" s="1" t="s">
        <v>41</v>
      </c>
      <c r="F247" s="3">
        <v>2981</v>
      </c>
      <c r="G247" s="3">
        <v>258</v>
      </c>
      <c r="H247" s="3">
        <v>168</v>
      </c>
      <c r="I247" s="3">
        <v>20677</v>
      </c>
      <c r="J247" s="3">
        <v>68290</v>
      </c>
      <c r="K247" s="3">
        <v>130</v>
      </c>
      <c r="L247" s="1" t="s">
        <v>17</v>
      </c>
      <c r="M247" s="1" t="s">
        <v>18</v>
      </c>
    </row>
    <row r="248" spans="1:13" ht="15.75" customHeight="1">
      <c r="A248" s="1" t="s">
        <v>287</v>
      </c>
      <c r="B248" s="1" t="s">
        <v>24</v>
      </c>
      <c r="C248" s="4">
        <v>45551</v>
      </c>
      <c r="D248" s="1" t="s">
        <v>25</v>
      </c>
      <c r="E248" s="1" t="s">
        <v>51</v>
      </c>
      <c r="F248" s="3">
        <v>3300</v>
      </c>
      <c r="G248" s="3">
        <v>354</v>
      </c>
      <c r="H248" s="3">
        <v>397</v>
      </c>
      <c r="I248" s="3">
        <v>56773</v>
      </c>
      <c r="J248" s="3">
        <v>72110</v>
      </c>
      <c r="K248" s="3">
        <v>163</v>
      </c>
      <c r="L248" s="1" t="s">
        <v>39</v>
      </c>
      <c r="M248" s="1" t="s">
        <v>18</v>
      </c>
    </row>
    <row r="249" spans="1:13" ht="15.75" customHeight="1">
      <c r="A249" s="1" t="s">
        <v>288</v>
      </c>
      <c r="B249" s="1" t="s">
        <v>31</v>
      </c>
      <c r="C249" s="4">
        <v>45457</v>
      </c>
      <c r="D249" s="1" t="s">
        <v>57</v>
      </c>
      <c r="E249" s="1" t="s">
        <v>29</v>
      </c>
      <c r="F249" s="3">
        <v>4722</v>
      </c>
      <c r="G249" s="3">
        <v>310</v>
      </c>
      <c r="H249" s="3">
        <v>344</v>
      </c>
      <c r="I249" s="3">
        <v>27911</v>
      </c>
      <c r="J249" s="3">
        <v>19000</v>
      </c>
      <c r="K249" s="3">
        <v>225</v>
      </c>
      <c r="L249" s="1" t="s">
        <v>58</v>
      </c>
      <c r="M249" s="1" t="s">
        <v>59</v>
      </c>
    </row>
    <row r="250" spans="1:13" ht="15.75" customHeight="1">
      <c r="A250" s="1" t="s">
        <v>289</v>
      </c>
      <c r="B250" s="1" t="s">
        <v>14</v>
      </c>
      <c r="C250" s="4">
        <v>45357</v>
      </c>
      <c r="D250" s="1" t="s">
        <v>15</v>
      </c>
      <c r="E250" s="1" t="s">
        <v>35</v>
      </c>
      <c r="F250" s="3">
        <v>3529</v>
      </c>
      <c r="G250" s="3">
        <v>263</v>
      </c>
      <c r="H250" s="3">
        <v>107</v>
      </c>
      <c r="I250" s="3">
        <v>26570</v>
      </c>
      <c r="J250" s="3">
        <v>19367</v>
      </c>
      <c r="K250" s="3">
        <v>96</v>
      </c>
      <c r="L250" s="1" t="s">
        <v>21</v>
      </c>
      <c r="M250" s="1" t="s">
        <v>22</v>
      </c>
    </row>
    <row r="251" spans="1:13" ht="15.75" customHeight="1">
      <c r="A251" s="1" t="s">
        <v>290</v>
      </c>
      <c r="B251" s="1" t="s">
        <v>24</v>
      </c>
      <c r="C251" s="4">
        <v>45792</v>
      </c>
      <c r="D251" s="1" t="s">
        <v>15</v>
      </c>
      <c r="E251" s="1" t="s">
        <v>51</v>
      </c>
      <c r="F251" s="3">
        <v>4782</v>
      </c>
      <c r="G251" s="3">
        <v>210</v>
      </c>
      <c r="H251" s="3">
        <v>311</v>
      </c>
      <c r="I251" s="3">
        <v>29793</v>
      </c>
      <c r="J251" s="3">
        <v>37543</v>
      </c>
      <c r="K251" s="3">
        <v>145</v>
      </c>
      <c r="L251" s="1" t="s">
        <v>42</v>
      </c>
      <c r="M251" s="1" t="s">
        <v>18</v>
      </c>
    </row>
    <row r="252" spans="1:13" ht="15.75" customHeight="1">
      <c r="A252" s="1" t="s">
        <v>291</v>
      </c>
      <c r="B252" s="1" t="s">
        <v>24</v>
      </c>
      <c r="C252" s="4">
        <v>45480</v>
      </c>
      <c r="D252" s="1" t="s">
        <v>15</v>
      </c>
      <c r="E252" s="1" t="s">
        <v>35</v>
      </c>
      <c r="F252" s="3">
        <v>1848</v>
      </c>
      <c r="G252" s="3">
        <v>417</v>
      </c>
      <c r="H252" s="3">
        <v>294</v>
      </c>
      <c r="I252" s="3">
        <v>57819</v>
      </c>
      <c r="J252" s="3">
        <v>19798</v>
      </c>
      <c r="K252" s="3">
        <v>262</v>
      </c>
      <c r="L252" s="1" t="s">
        <v>45</v>
      </c>
      <c r="M252" s="1" t="s">
        <v>22</v>
      </c>
    </row>
    <row r="253" spans="1:13" ht="15.75" customHeight="1">
      <c r="A253" s="1" t="s">
        <v>292</v>
      </c>
      <c r="B253" s="1" t="s">
        <v>31</v>
      </c>
      <c r="C253" s="4">
        <v>45591</v>
      </c>
      <c r="D253" s="1" t="s">
        <v>15</v>
      </c>
      <c r="E253" s="1" t="s">
        <v>26</v>
      </c>
      <c r="F253" s="3">
        <v>4676</v>
      </c>
      <c r="G253" s="3">
        <v>211</v>
      </c>
      <c r="H253" s="3">
        <v>55</v>
      </c>
      <c r="I253" s="3">
        <v>45917</v>
      </c>
      <c r="J253" s="3">
        <v>73503</v>
      </c>
      <c r="K253" s="3">
        <v>248</v>
      </c>
      <c r="L253" s="1" t="s">
        <v>33</v>
      </c>
      <c r="M253" s="1" t="s">
        <v>22</v>
      </c>
    </row>
    <row r="254" spans="1:13" ht="15.75" customHeight="1">
      <c r="A254" s="1" t="s">
        <v>293</v>
      </c>
      <c r="B254" s="1" t="s">
        <v>31</v>
      </c>
      <c r="C254" s="4">
        <v>45512</v>
      </c>
      <c r="D254" s="1" t="s">
        <v>15</v>
      </c>
      <c r="E254" s="1" t="s">
        <v>49</v>
      </c>
      <c r="F254" s="3">
        <v>1994</v>
      </c>
      <c r="G254" s="3">
        <v>197</v>
      </c>
      <c r="H254" s="3">
        <v>290</v>
      </c>
      <c r="I254" s="3">
        <v>49500</v>
      </c>
      <c r="J254" s="3">
        <v>23343</v>
      </c>
      <c r="K254" s="3">
        <v>160</v>
      </c>
      <c r="L254" s="1" t="s">
        <v>33</v>
      </c>
      <c r="M254" s="1" t="s">
        <v>22</v>
      </c>
    </row>
    <row r="255" spans="1:13" ht="15.75" customHeight="1">
      <c r="A255" s="1" t="s">
        <v>294</v>
      </c>
      <c r="B255" s="1" t="s">
        <v>24</v>
      </c>
      <c r="C255" s="4">
        <v>45691</v>
      </c>
      <c r="D255" s="1" t="s">
        <v>15</v>
      </c>
      <c r="E255" s="1" t="s">
        <v>35</v>
      </c>
      <c r="F255" s="3">
        <v>4995</v>
      </c>
      <c r="G255" s="3">
        <v>231</v>
      </c>
      <c r="H255" s="3">
        <v>94</v>
      </c>
      <c r="I255" s="3">
        <v>34431</v>
      </c>
      <c r="J255" s="3">
        <v>32560</v>
      </c>
      <c r="K255" s="3">
        <v>262</v>
      </c>
      <c r="L255" s="1" t="s">
        <v>42</v>
      </c>
      <c r="M255" s="1" t="s">
        <v>18</v>
      </c>
    </row>
    <row r="256" spans="1:13" ht="15.75" customHeight="1">
      <c r="A256" s="1" t="s">
        <v>295</v>
      </c>
      <c r="B256" s="1" t="s">
        <v>24</v>
      </c>
      <c r="C256" s="4">
        <v>45385</v>
      </c>
      <c r="D256" s="1" t="s">
        <v>25</v>
      </c>
      <c r="E256" s="1" t="s">
        <v>41</v>
      </c>
      <c r="F256" s="3">
        <v>2291</v>
      </c>
      <c r="G256" s="3">
        <v>146</v>
      </c>
      <c r="H256" s="3">
        <v>399</v>
      </c>
      <c r="I256" s="3">
        <v>49319</v>
      </c>
      <c r="J256" s="3">
        <v>28056</v>
      </c>
      <c r="K256" s="3">
        <v>90</v>
      </c>
      <c r="L256" s="1" t="s">
        <v>39</v>
      </c>
      <c r="M256" s="1" t="s">
        <v>18</v>
      </c>
    </row>
    <row r="257" spans="1:13" ht="15.75" customHeight="1">
      <c r="A257" s="1" t="s">
        <v>296</v>
      </c>
      <c r="B257" s="1" t="s">
        <v>24</v>
      </c>
      <c r="C257" s="4">
        <v>45481</v>
      </c>
      <c r="D257" s="1" t="s">
        <v>25</v>
      </c>
      <c r="E257" s="1" t="s">
        <v>29</v>
      </c>
      <c r="F257" s="3">
        <v>2304</v>
      </c>
      <c r="G257" s="3">
        <v>289</v>
      </c>
      <c r="H257" s="3">
        <v>161</v>
      </c>
      <c r="I257" s="3">
        <v>52645</v>
      </c>
      <c r="J257" s="3">
        <v>66262</v>
      </c>
      <c r="K257" s="3">
        <v>146</v>
      </c>
      <c r="L257" s="1" t="s">
        <v>27</v>
      </c>
      <c r="M257" s="1" t="s">
        <v>18</v>
      </c>
    </row>
    <row r="258" spans="1:13" ht="15.75" customHeight="1">
      <c r="A258" s="1" t="s">
        <v>297</v>
      </c>
      <c r="B258" s="1" t="s">
        <v>24</v>
      </c>
      <c r="C258" s="4">
        <v>45451</v>
      </c>
      <c r="D258" s="1" t="s">
        <v>25</v>
      </c>
      <c r="E258" s="1" t="s">
        <v>41</v>
      </c>
      <c r="F258" s="3">
        <v>3413</v>
      </c>
      <c r="G258" s="3">
        <v>326</v>
      </c>
      <c r="H258" s="3">
        <v>86</v>
      </c>
      <c r="I258" s="3">
        <v>44680</v>
      </c>
      <c r="J258" s="3">
        <v>52719</v>
      </c>
      <c r="K258" s="3">
        <v>272</v>
      </c>
      <c r="L258" s="1" t="s">
        <v>39</v>
      </c>
      <c r="M258" s="1" t="s">
        <v>18</v>
      </c>
    </row>
    <row r="259" spans="1:13" ht="15.75" customHeight="1">
      <c r="A259" s="1" t="s">
        <v>298</v>
      </c>
      <c r="B259" s="1" t="s">
        <v>31</v>
      </c>
      <c r="C259" s="4">
        <v>45736</v>
      </c>
      <c r="D259" s="1" t="s">
        <v>57</v>
      </c>
      <c r="E259" s="1" t="s">
        <v>49</v>
      </c>
      <c r="F259" s="3">
        <v>1453</v>
      </c>
      <c r="G259" s="3">
        <v>156</v>
      </c>
      <c r="H259" s="3">
        <v>178</v>
      </c>
      <c r="I259" s="3">
        <v>52980</v>
      </c>
      <c r="J259" s="3">
        <v>57180</v>
      </c>
      <c r="K259" s="3">
        <v>286</v>
      </c>
      <c r="L259" s="1" t="s">
        <v>58</v>
      </c>
      <c r="M259" s="1" t="s">
        <v>59</v>
      </c>
    </row>
    <row r="260" spans="1:13" ht="15.75" customHeight="1">
      <c r="A260" s="1" t="s">
        <v>299</v>
      </c>
      <c r="B260" s="1" t="s">
        <v>24</v>
      </c>
      <c r="C260" s="4">
        <v>45676</v>
      </c>
      <c r="D260" s="1" t="s">
        <v>25</v>
      </c>
      <c r="E260" s="1" t="s">
        <v>32</v>
      </c>
      <c r="F260" s="3">
        <v>1651</v>
      </c>
      <c r="G260" s="3">
        <v>480</v>
      </c>
      <c r="H260" s="3">
        <v>282</v>
      </c>
      <c r="I260" s="3">
        <v>32140</v>
      </c>
      <c r="J260" s="3">
        <v>70560</v>
      </c>
      <c r="K260" s="3">
        <v>138</v>
      </c>
      <c r="L260" s="1" t="s">
        <v>17</v>
      </c>
      <c r="M260" s="1" t="s">
        <v>18</v>
      </c>
    </row>
    <row r="261" spans="1:13" ht="15.75" customHeight="1">
      <c r="A261" s="1" t="s">
        <v>300</v>
      </c>
      <c r="B261" s="1" t="s">
        <v>24</v>
      </c>
      <c r="C261" s="4">
        <v>45662</v>
      </c>
      <c r="D261" s="1" t="s">
        <v>25</v>
      </c>
      <c r="E261" s="1" t="s">
        <v>20</v>
      </c>
      <c r="F261" s="3">
        <v>3341</v>
      </c>
      <c r="G261" s="3">
        <v>154</v>
      </c>
      <c r="H261" s="3">
        <v>123</v>
      </c>
      <c r="I261" s="3">
        <v>43369</v>
      </c>
      <c r="J261" s="3">
        <v>49035</v>
      </c>
      <c r="K261" s="3">
        <v>128</v>
      </c>
      <c r="L261" s="1" t="s">
        <v>27</v>
      </c>
      <c r="M261" s="1" t="s">
        <v>18</v>
      </c>
    </row>
    <row r="262" spans="1:13" ht="15.75" customHeight="1">
      <c r="A262" s="1" t="s">
        <v>301</v>
      </c>
      <c r="B262" s="1" t="s">
        <v>24</v>
      </c>
      <c r="C262" s="4">
        <v>45612</v>
      </c>
      <c r="D262" s="1" t="s">
        <v>15</v>
      </c>
      <c r="E262" s="1" t="s">
        <v>49</v>
      </c>
      <c r="F262" s="3">
        <v>2972</v>
      </c>
      <c r="G262" s="3">
        <v>263</v>
      </c>
      <c r="H262" s="3">
        <v>308</v>
      </c>
      <c r="I262" s="3">
        <v>51740</v>
      </c>
      <c r="J262" s="3">
        <v>28214</v>
      </c>
      <c r="K262" s="3">
        <v>190</v>
      </c>
      <c r="L262" s="1" t="s">
        <v>45</v>
      </c>
      <c r="M262" s="1" t="s">
        <v>22</v>
      </c>
    </row>
    <row r="263" spans="1:13" ht="15.75" customHeight="1">
      <c r="A263" s="1" t="s">
        <v>302</v>
      </c>
      <c r="B263" s="1" t="s">
        <v>24</v>
      </c>
      <c r="C263" s="4">
        <v>45626</v>
      </c>
      <c r="D263" s="1" t="s">
        <v>25</v>
      </c>
      <c r="E263" s="1" t="s">
        <v>20</v>
      </c>
      <c r="F263" s="3">
        <v>4963</v>
      </c>
      <c r="G263" s="3">
        <v>255</v>
      </c>
      <c r="H263" s="3">
        <v>193</v>
      </c>
      <c r="I263" s="3">
        <v>44386</v>
      </c>
      <c r="J263" s="3">
        <v>28415</v>
      </c>
      <c r="K263" s="3">
        <v>174</v>
      </c>
      <c r="L263" s="1" t="s">
        <v>27</v>
      </c>
      <c r="M263" s="1" t="s">
        <v>18</v>
      </c>
    </row>
    <row r="264" spans="1:13" ht="15.75" customHeight="1">
      <c r="A264" s="1" t="s">
        <v>303</v>
      </c>
      <c r="B264" s="1" t="s">
        <v>31</v>
      </c>
      <c r="C264" s="4">
        <v>45378</v>
      </c>
      <c r="D264" s="1" t="s">
        <v>15</v>
      </c>
      <c r="E264" s="1" t="s">
        <v>32</v>
      </c>
      <c r="F264" s="3">
        <v>2399</v>
      </c>
      <c r="G264" s="3">
        <v>191</v>
      </c>
      <c r="H264" s="3">
        <v>221</v>
      </c>
      <c r="I264" s="3">
        <v>51603</v>
      </c>
      <c r="J264" s="3">
        <v>40033</v>
      </c>
      <c r="K264" s="3">
        <v>173</v>
      </c>
      <c r="L264" s="1" t="s">
        <v>33</v>
      </c>
      <c r="M264" s="1" t="s">
        <v>22</v>
      </c>
    </row>
    <row r="265" spans="1:13" ht="15.75" customHeight="1">
      <c r="A265" s="1" t="s">
        <v>304</v>
      </c>
      <c r="B265" s="1" t="s">
        <v>31</v>
      </c>
      <c r="C265" s="4">
        <v>45808</v>
      </c>
      <c r="D265" s="1" t="s">
        <v>57</v>
      </c>
      <c r="E265" s="1" t="s">
        <v>37</v>
      </c>
      <c r="F265" s="3">
        <v>2162</v>
      </c>
      <c r="G265" s="3">
        <v>318</v>
      </c>
      <c r="H265" s="3">
        <v>83</v>
      </c>
      <c r="I265" s="3">
        <v>46719</v>
      </c>
      <c r="J265" s="3">
        <v>20482</v>
      </c>
      <c r="K265" s="3">
        <v>185</v>
      </c>
      <c r="L265" s="1" t="s">
        <v>58</v>
      </c>
      <c r="M265" s="1" t="s">
        <v>59</v>
      </c>
    </row>
    <row r="266" spans="1:13" ht="15.75" customHeight="1">
      <c r="A266" s="1" t="s">
        <v>305</v>
      </c>
      <c r="B266" s="1" t="s">
        <v>24</v>
      </c>
      <c r="C266" s="4">
        <v>45825</v>
      </c>
      <c r="D266" s="1" t="s">
        <v>25</v>
      </c>
      <c r="E266" s="1" t="s">
        <v>20</v>
      </c>
      <c r="F266" s="3">
        <v>4341</v>
      </c>
      <c r="G266" s="3">
        <v>141</v>
      </c>
      <c r="H266" s="3">
        <v>63</v>
      </c>
      <c r="I266" s="3">
        <v>50081</v>
      </c>
      <c r="J266" s="3">
        <v>27507</v>
      </c>
      <c r="K266" s="3">
        <v>221</v>
      </c>
      <c r="L266" s="1" t="s">
        <v>39</v>
      </c>
      <c r="M266" s="1" t="s">
        <v>18</v>
      </c>
    </row>
    <row r="267" spans="1:13" ht="15.75" customHeight="1">
      <c r="A267" s="1" t="s">
        <v>306</v>
      </c>
      <c r="B267" s="1" t="s">
        <v>14</v>
      </c>
      <c r="C267" s="4">
        <v>45442</v>
      </c>
      <c r="D267" s="1" t="s">
        <v>25</v>
      </c>
      <c r="E267" s="1" t="s">
        <v>37</v>
      </c>
      <c r="F267" s="3">
        <v>2448</v>
      </c>
      <c r="G267" s="3">
        <v>464</v>
      </c>
      <c r="H267" s="3">
        <v>98</v>
      </c>
      <c r="I267" s="3">
        <v>25737</v>
      </c>
      <c r="J267" s="3">
        <v>48545</v>
      </c>
      <c r="K267" s="3">
        <v>246</v>
      </c>
      <c r="L267" s="1" t="s">
        <v>42</v>
      </c>
      <c r="M267" s="1" t="s">
        <v>55</v>
      </c>
    </row>
    <row r="268" spans="1:13" ht="15.75" customHeight="1">
      <c r="A268" s="1" t="s">
        <v>307</v>
      </c>
      <c r="B268" s="1" t="s">
        <v>31</v>
      </c>
      <c r="C268" s="4">
        <v>45604</v>
      </c>
      <c r="D268" s="1" t="s">
        <v>15</v>
      </c>
      <c r="E268" s="1" t="s">
        <v>41</v>
      </c>
      <c r="F268" s="3">
        <v>2471</v>
      </c>
      <c r="G268" s="3">
        <v>166</v>
      </c>
      <c r="H268" s="3">
        <v>320</v>
      </c>
      <c r="I268" s="3">
        <v>48254</v>
      </c>
      <c r="J268" s="3">
        <v>46900</v>
      </c>
      <c r="K268" s="3">
        <v>111</v>
      </c>
      <c r="L268" s="1" t="s">
        <v>33</v>
      </c>
      <c r="M268" s="1" t="s">
        <v>22</v>
      </c>
    </row>
    <row r="269" spans="1:13" ht="15.75" customHeight="1">
      <c r="A269" s="1" t="s">
        <v>308</v>
      </c>
      <c r="B269" s="1" t="s">
        <v>31</v>
      </c>
      <c r="C269" s="4">
        <v>45368</v>
      </c>
      <c r="D269" s="1" t="s">
        <v>57</v>
      </c>
      <c r="E269" s="1" t="s">
        <v>20</v>
      </c>
      <c r="F269" s="3">
        <v>2692</v>
      </c>
      <c r="G269" s="3">
        <v>446</v>
      </c>
      <c r="H269" s="3">
        <v>216</v>
      </c>
      <c r="I269" s="3">
        <v>45818</v>
      </c>
      <c r="J269" s="3">
        <v>62723</v>
      </c>
      <c r="K269" s="3">
        <v>85</v>
      </c>
      <c r="L269" s="1" t="s">
        <v>58</v>
      </c>
      <c r="M269" s="1" t="s">
        <v>59</v>
      </c>
    </row>
    <row r="270" spans="1:13" ht="15.75" customHeight="1">
      <c r="A270" s="1" t="s">
        <v>309</v>
      </c>
      <c r="B270" s="1" t="s">
        <v>31</v>
      </c>
      <c r="C270" s="4">
        <v>45464</v>
      </c>
      <c r="D270" s="1" t="s">
        <v>57</v>
      </c>
      <c r="E270" s="1" t="s">
        <v>32</v>
      </c>
      <c r="F270" s="3">
        <v>4621</v>
      </c>
      <c r="G270" s="3">
        <v>374</v>
      </c>
      <c r="H270" s="3">
        <v>298</v>
      </c>
      <c r="I270" s="3">
        <v>56979</v>
      </c>
      <c r="J270" s="3">
        <v>24098</v>
      </c>
      <c r="K270" s="3">
        <v>205</v>
      </c>
      <c r="L270" s="1" t="s">
        <v>58</v>
      </c>
      <c r="M270" s="1" t="s">
        <v>59</v>
      </c>
    </row>
    <row r="271" spans="1:13" ht="15.75" customHeight="1">
      <c r="A271" s="1" t="s">
        <v>310</v>
      </c>
      <c r="B271" s="1" t="s">
        <v>24</v>
      </c>
      <c r="C271" s="4">
        <v>45609</v>
      </c>
      <c r="D271" s="1" t="s">
        <v>25</v>
      </c>
      <c r="E271" s="1" t="s">
        <v>26</v>
      </c>
      <c r="F271" s="3">
        <v>1409</v>
      </c>
      <c r="G271" s="3">
        <v>466</v>
      </c>
      <c r="H271" s="3">
        <v>105</v>
      </c>
      <c r="I271" s="3">
        <v>58923</v>
      </c>
      <c r="J271" s="3">
        <v>38753</v>
      </c>
      <c r="K271" s="3">
        <v>265</v>
      </c>
      <c r="L271" s="1" t="s">
        <v>39</v>
      </c>
      <c r="M271" s="1" t="s">
        <v>18</v>
      </c>
    </row>
    <row r="272" spans="1:13" ht="15.75" customHeight="1">
      <c r="A272" s="1" t="s">
        <v>311</v>
      </c>
      <c r="B272" s="1" t="s">
        <v>24</v>
      </c>
      <c r="C272" s="4">
        <v>45693</v>
      </c>
      <c r="D272" s="1" t="s">
        <v>25</v>
      </c>
      <c r="E272" s="1" t="s">
        <v>16</v>
      </c>
      <c r="F272" s="3">
        <v>3029</v>
      </c>
      <c r="G272" s="3">
        <v>440</v>
      </c>
      <c r="H272" s="3">
        <v>66</v>
      </c>
      <c r="I272" s="3">
        <v>23815</v>
      </c>
      <c r="J272" s="3">
        <v>47895</v>
      </c>
      <c r="K272" s="3">
        <v>210</v>
      </c>
      <c r="L272" s="1" t="s">
        <v>39</v>
      </c>
      <c r="M272" s="1" t="s">
        <v>18</v>
      </c>
    </row>
    <row r="273" spans="1:13" ht="15.75" customHeight="1">
      <c r="A273" s="1" t="s">
        <v>312</v>
      </c>
      <c r="B273" s="1" t="s">
        <v>24</v>
      </c>
      <c r="C273" s="4">
        <v>45603</v>
      </c>
      <c r="D273" s="1" t="s">
        <v>15</v>
      </c>
      <c r="E273" s="1" t="s">
        <v>20</v>
      </c>
      <c r="F273" s="3">
        <v>2229</v>
      </c>
      <c r="G273" s="3">
        <v>395</v>
      </c>
      <c r="H273" s="3">
        <v>328</v>
      </c>
      <c r="I273" s="3">
        <v>56921</v>
      </c>
      <c r="J273" s="3">
        <v>37176</v>
      </c>
      <c r="K273" s="3">
        <v>126</v>
      </c>
      <c r="L273" s="1" t="s">
        <v>45</v>
      </c>
      <c r="M273" s="1" t="s">
        <v>22</v>
      </c>
    </row>
    <row r="274" spans="1:13" ht="15.75" customHeight="1">
      <c r="A274" s="1" t="s">
        <v>313</v>
      </c>
      <c r="B274" s="1" t="s">
        <v>24</v>
      </c>
      <c r="C274" s="4">
        <v>45334</v>
      </c>
      <c r="D274" s="1" t="s">
        <v>15</v>
      </c>
      <c r="E274" s="1" t="s">
        <v>20</v>
      </c>
      <c r="F274" s="3">
        <v>2691</v>
      </c>
      <c r="G274" s="3">
        <v>486</v>
      </c>
      <c r="H274" s="3">
        <v>206</v>
      </c>
      <c r="I274" s="3">
        <v>51133</v>
      </c>
      <c r="J274" s="3">
        <v>44583</v>
      </c>
      <c r="K274" s="3">
        <v>276</v>
      </c>
      <c r="L274" s="1" t="s">
        <v>42</v>
      </c>
      <c r="M274" s="1" t="s">
        <v>18</v>
      </c>
    </row>
    <row r="275" spans="1:13" ht="15.75" customHeight="1">
      <c r="A275" s="1" t="s">
        <v>314</v>
      </c>
      <c r="B275" s="1" t="s">
        <v>14</v>
      </c>
      <c r="C275" s="4">
        <v>45573</v>
      </c>
      <c r="D275" s="1" t="s">
        <v>15</v>
      </c>
      <c r="E275" s="1" t="s">
        <v>20</v>
      </c>
      <c r="F275" s="3">
        <v>2110</v>
      </c>
      <c r="G275" s="3">
        <v>384</v>
      </c>
      <c r="H275" s="3">
        <v>236</v>
      </c>
      <c r="I275" s="3">
        <v>49965</v>
      </c>
      <c r="J275" s="3">
        <v>61555</v>
      </c>
      <c r="K275" s="3">
        <v>195</v>
      </c>
      <c r="L275" s="1" t="s">
        <v>21</v>
      </c>
      <c r="M275" s="1" t="s">
        <v>22</v>
      </c>
    </row>
    <row r="276" spans="1:13" ht="15.75" customHeight="1">
      <c r="A276" s="1" t="s">
        <v>315</v>
      </c>
      <c r="B276" s="1" t="s">
        <v>14</v>
      </c>
      <c r="C276" s="4">
        <v>45341</v>
      </c>
      <c r="D276" s="1" t="s">
        <v>15</v>
      </c>
      <c r="E276" s="1" t="s">
        <v>29</v>
      </c>
      <c r="F276" s="3">
        <v>4752</v>
      </c>
      <c r="G276" s="3">
        <v>449</v>
      </c>
      <c r="H276" s="3">
        <v>309</v>
      </c>
      <c r="I276" s="3">
        <v>58530</v>
      </c>
      <c r="J276" s="3">
        <v>26630</v>
      </c>
      <c r="K276" s="3">
        <v>234</v>
      </c>
      <c r="L276" s="1" t="s">
        <v>21</v>
      </c>
      <c r="M276" s="1" t="s">
        <v>22</v>
      </c>
    </row>
    <row r="277" spans="1:13" ht="15.75" customHeight="1">
      <c r="A277" s="1" t="s">
        <v>316</v>
      </c>
      <c r="B277" s="1" t="s">
        <v>24</v>
      </c>
      <c r="C277" s="4">
        <v>45720</v>
      </c>
      <c r="D277" s="1" t="s">
        <v>15</v>
      </c>
      <c r="E277" s="1" t="s">
        <v>16</v>
      </c>
      <c r="F277" s="3">
        <v>2177</v>
      </c>
      <c r="G277" s="3">
        <v>258</v>
      </c>
      <c r="H277" s="3">
        <v>292</v>
      </c>
      <c r="I277" s="3">
        <v>47276</v>
      </c>
      <c r="J277" s="3">
        <v>51324</v>
      </c>
      <c r="K277" s="3">
        <v>143</v>
      </c>
      <c r="L277" s="1" t="s">
        <v>42</v>
      </c>
      <c r="M277" s="1" t="s">
        <v>18</v>
      </c>
    </row>
    <row r="278" spans="1:13" ht="15.75" customHeight="1">
      <c r="A278" s="1" t="s">
        <v>317</v>
      </c>
      <c r="B278" s="1" t="s">
        <v>14</v>
      </c>
      <c r="C278" s="4">
        <v>45691</v>
      </c>
      <c r="D278" s="1" t="s">
        <v>25</v>
      </c>
      <c r="E278" s="1" t="s">
        <v>26</v>
      </c>
      <c r="F278" s="3">
        <v>1205</v>
      </c>
      <c r="G278" s="3">
        <v>486</v>
      </c>
      <c r="H278" s="3">
        <v>269</v>
      </c>
      <c r="I278" s="3">
        <v>23341</v>
      </c>
      <c r="J278" s="3">
        <v>42411</v>
      </c>
      <c r="K278" s="3">
        <v>184</v>
      </c>
      <c r="L278" s="1" t="s">
        <v>42</v>
      </c>
      <c r="M278" s="1" t="s">
        <v>55</v>
      </c>
    </row>
    <row r="279" spans="1:13" ht="15.75" customHeight="1">
      <c r="A279" s="1" t="s">
        <v>318</v>
      </c>
      <c r="B279" s="1" t="s">
        <v>14</v>
      </c>
      <c r="C279" s="4">
        <v>45628</v>
      </c>
      <c r="D279" s="1" t="s">
        <v>15</v>
      </c>
      <c r="E279" s="1" t="s">
        <v>41</v>
      </c>
      <c r="F279" s="3">
        <v>3194</v>
      </c>
      <c r="G279" s="3">
        <v>292</v>
      </c>
      <c r="H279" s="3">
        <v>245</v>
      </c>
      <c r="I279" s="3">
        <v>56371</v>
      </c>
      <c r="J279" s="3">
        <v>65597</v>
      </c>
      <c r="K279" s="3">
        <v>163</v>
      </c>
      <c r="L279" s="1" t="s">
        <v>17</v>
      </c>
      <c r="M279" s="1" t="s">
        <v>18</v>
      </c>
    </row>
    <row r="280" spans="1:13" ht="15.75" customHeight="1">
      <c r="A280" s="1" t="s">
        <v>319</v>
      </c>
      <c r="B280" s="1" t="s">
        <v>24</v>
      </c>
      <c r="C280" s="4">
        <v>45676</v>
      </c>
      <c r="D280" s="1" t="s">
        <v>25</v>
      </c>
      <c r="E280" s="1" t="s">
        <v>26</v>
      </c>
      <c r="F280" s="3">
        <v>3507</v>
      </c>
      <c r="G280" s="3">
        <v>295</v>
      </c>
      <c r="H280" s="3">
        <v>371</v>
      </c>
      <c r="I280" s="3">
        <v>20410</v>
      </c>
      <c r="J280" s="3">
        <v>53965</v>
      </c>
      <c r="K280" s="3">
        <v>212</v>
      </c>
      <c r="L280" s="1" t="s">
        <v>17</v>
      </c>
      <c r="M280" s="1" t="s">
        <v>18</v>
      </c>
    </row>
    <row r="281" spans="1:13" ht="15.75" customHeight="1">
      <c r="A281" s="1" t="s">
        <v>320</v>
      </c>
      <c r="B281" s="1" t="s">
        <v>24</v>
      </c>
      <c r="C281" s="4">
        <v>45563</v>
      </c>
      <c r="D281" s="1" t="s">
        <v>25</v>
      </c>
      <c r="E281" s="1" t="s">
        <v>29</v>
      </c>
      <c r="F281" s="3">
        <v>4471</v>
      </c>
      <c r="G281" s="3">
        <v>317</v>
      </c>
      <c r="H281" s="3">
        <v>249</v>
      </c>
      <c r="I281" s="3">
        <v>44862</v>
      </c>
      <c r="J281" s="3">
        <v>33365</v>
      </c>
      <c r="K281" s="3">
        <v>184</v>
      </c>
      <c r="L281" s="1" t="s">
        <v>39</v>
      </c>
      <c r="M281" s="1" t="s">
        <v>18</v>
      </c>
    </row>
    <row r="282" spans="1:13" ht="15.75" customHeight="1">
      <c r="A282" s="1" t="s">
        <v>321</v>
      </c>
      <c r="B282" s="1" t="s">
        <v>14</v>
      </c>
      <c r="C282" s="4">
        <v>45298</v>
      </c>
      <c r="D282" s="1" t="s">
        <v>15</v>
      </c>
      <c r="E282" s="1" t="s">
        <v>41</v>
      </c>
      <c r="F282" s="3">
        <v>4931</v>
      </c>
      <c r="G282" s="3">
        <v>469</v>
      </c>
      <c r="H282" s="3">
        <v>193</v>
      </c>
      <c r="I282" s="3">
        <v>56701</v>
      </c>
      <c r="J282" s="3">
        <v>69437</v>
      </c>
      <c r="K282" s="3">
        <v>291</v>
      </c>
      <c r="L282" s="1" t="s">
        <v>17</v>
      </c>
      <c r="M282" s="1" t="s">
        <v>18</v>
      </c>
    </row>
    <row r="283" spans="1:13" ht="15.75" customHeight="1">
      <c r="A283" s="1" t="s">
        <v>322</v>
      </c>
      <c r="B283" s="1" t="s">
        <v>24</v>
      </c>
      <c r="C283" s="4">
        <v>45343</v>
      </c>
      <c r="D283" s="1" t="s">
        <v>25</v>
      </c>
      <c r="E283" s="1" t="s">
        <v>37</v>
      </c>
      <c r="F283" s="3">
        <v>2604</v>
      </c>
      <c r="G283" s="3">
        <v>439</v>
      </c>
      <c r="H283" s="3">
        <v>148</v>
      </c>
      <c r="I283" s="3">
        <v>58468</v>
      </c>
      <c r="J283" s="3">
        <v>39629</v>
      </c>
      <c r="K283" s="3">
        <v>163</v>
      </c>
      <c r="L283" s="1" t="s">
        <v>27</v>
      </c>
      <c r="M283" s="1" t="s">
        <v>18</v>
      </c>
    </row>
    <row r="284" spans="1:13" ht="15.75" customHeight="1">
      <c r="A284" s="1" t="s">
        <v>323</v>
      </c>
      <c r="B284" s="1" t="s">
        <v>14</v>
      </c>
      <c r="C284" s="4">
        <v>45531</v>
      </c>
      <c r="D284" s="1" t="s">
        <v>15</v>
      </c>
      <c r="E284" s="1" t="s">
        <v>32</v>
      </c>
      <c r="F284" s="3">
        <v>4197</v>
      </c>
      <c r="G284" s="3">
        <v>359</v>
      </c>
      <c r="H284" s="3">
        <v>280</v>
      </c>
      <c r="I284" s="3">
        <v>56048</v>
      </c>
      <c r="J284" s="3">
        <v>70930</v>
      </c>
      <c r="K284" s="3">
        <v>295</v>
      </c>
      <c r="L284" s="1" t="s">
        <v>21</v>
      </c>
      <c r="M284" s="1" t="s">
        <v>22</v>
      </c>
    </row>
    <row r="285" spans="1:13" ht="15.75" customHeight="1">
      <c r="A285" s="1" t="s">
        <v>324</v>
      </c>
      <c r="B285" s="1" t="s">
        <v>14</v>
      </c>
      <c r="C285" s="4">
        <v>45589</v>
      </c>
      <c r="D285" s="1" t="s">
        <v>25</v>
      </c>
      <c r="E285" s="1" t="s">
        <v>41</v>
      </c>
      <c r="F285" s="3">
        <v>1914</v>
      </c>
      <c r="G285" s="3">
        <v>255</v>
      </c>
      <c r="H285" s="3">
        <v>156</v>
      </c>
      <c r="I285" s="3">
        <v>27660</v>
      </c>
      <c r="J285" s="3">
        <v>47776</v>
      </c>
      <c r="K285" s="3">
        <v>111</v>
      </c>
      <c r="L285" s="1" t="s">
        <v>42</v>
      </c>
      <c r="M285" s="1" t="s">
        <v>55</v>
      </c>
    </row>
    <row r="286" spans="1:13" ht="15.75" customHeight="1">
      <c r="A286" s="1" t="s">
        <v>325</v>
      </c>
      <c r="B286" s="1" t="s">
        <v>31</v>
      </c>
      <c r="C286" s="4">
        <v>45686</v>
      </c>
      <c r="D286" s="1" t="s">
        <v>15</v>
      </c>
      <c r="E286" s="1" t="s">
        <v>26</v>
      </c>
      <c r="F286" s="3">
        <v>1334</v>
      </c>
      <c r="G286" s="3">
        <v>357</v>
      </c>
      <c r="H286" s="3">
        <v>257</v>
      </c>
      <c r="I286" s="3">
        <v>56910</v>
      </c>
      <c r="J286" s="3">
        <v>70606</v>
      </c>
      <c r="K286" s="3">
        <v>228</v>
      </c>
      <c r="L286" s="1" t="s">
        <v>33</v>
      </c>
      <c r="M286" s="1" t="s">
        <v>22</v>
      </c>
    </row>
    <row r="287" spans="1:13" ht="15.75" customHeight="1">
      <c r="A287" s="1" t="s">
        <v>326</v>
      </c>
      <c r="B287" s="1" t="s">
        <v>14</v>
      </c>
      <c r="C287" s="4">
        <v>45413</v>
      </c>
      <c r="D287" s="1" t="s">
        <v>15</v>
      </c>
      <c r="E287" s="1" t="s">
        <v>37</v>
      </c>
      <c r="F287" s="3">
        <v>3359</v>
      </c>
      <c r="G287" s="3">
        <v>137</v>
      </c>
      <c r="H287" s="3">
        <v>387</v>
      </c>
      <c r="I287" s="3">
        <v>33861</v>
      </c>
      <c r="J287" s="3">
        <v>47257</v>
      </c>
      <c r="K287" s="3">
        <v>198</v>
      </c>
      <c r="L287" s="1" t="s">
        <v>21</v>
      </c>
      <c r="M287" s="1" t="s">
        <v>22</v>
      </c>
    </row>
    <row r="288" spans="1:13" ht="15.75" customHeight="1">
      <c r="A288" s="1" t="s">
        <v>327</v>
      </c>
      <c r="B288" s="1" t="s">
        <v>31</v>
      </c>
      <c r="C288" s="4">
        <v>45468</v>
      </c>
      <c r="D288" s="1" t="s">
        <v>15</v>
      </c>
      <c r="E288" s="1" t="s">
        <v>51</v>
      </c>
      <c r="F288" s="3">
        <v>2172</v>
      </c>
      <c r="G288" s="3">
        <v>338</v>
      </c>
      <c r="H288" s="3">
        <v>70</v>
      </c>
      <c r="I288" s="3">
        <v>30515</v>
      </c>
      <c r="J288" s="3">
        <v>57853</v>
      </c>
      <c r="K288" s="3">
        <v>156</v>
      </c>
      <c r="L288" s="1" t="s">
        <v>33</v>
      </c>
      <c r="M288" s="1" t="s">
        <v>22</v>
      </c>
    </row>
    <row r="289" spans="1:13" ht="15.75" customHeight="1">
      <c r="A289" s="1" t="s">
        <v>328</v>
      </c>
      <c r="B289" s="1" t="s">
        <v>24</v>
      </c>
      <c r="C289" s="4">
        <v>45513</v>
      </c>
      <c r="D289" s="1" t="s">
        <v>25</v>
      </c>
      <c r="E289" s="1" t="s">
        <v>49</v>
      </c>
      <c r="F289" s="3">
        <v>4877</v>
      </c>
      <c r="G289" s="3">
        <v>442</v>
      </c>
      <c r="H289" s="3">
        <v>236</v>
      </c>
      <c r="I289" s="3">
        <v>52673</v>
      </c>
      <c r="J289" s="3">
        <v>48241</v>
      </c>
      <c r="K289" s="3">
        <v>114</v>
      </c>
      <c r="L289" s="1" t="s">
        <v>39</v>
      </c>
      <c r="M289" s="1" t="s">
        <v>18</v>
      </c>
    </row>
    <row r="290" spans="1:13" ht="15.75" customHeight="1">
      <c r="A290" s="1" t="s">
        <v>329</v>
      </c>
      <c r="B290" s="1" t="s">
        <v>14</v>
      </c>
      <c r="C290" s="4">
        <v>45678</v>
      </c>
      <c r="D290" s="1" t="s">
        <v>25</v>
      </c>
      <c r="E290" s="1" t="s">
        <v>26</v>
      </c>
      <c r="F290" s="3">
        <v>4918</v>
      </c>
      <c r="G290" s="3">
        <v>440</v>
      </c>
      <c r="H290" s="3">
        <v>149</v>
      </c>
      <c r="I290" s="3">
        <v>53269</v>
      </c>
      <c r="J290" s="3">
        <v>64370</v>
      </c>
      <c r="K290" s="3">
        <v>269</v>
      </c>
      <c r="L290" s="1" t="s">
        <v>42</v>
      </c>
      <c r="M290" s="1" t="s">
        <v>55</v>
      </c>
    </row>
    <row r="291" spans="1:13" ht="15.75" customHeight="1">
      <c r="A291" s="1" t="s">
        <v>330</v>
      </c>
      <c r="B291" s="1" t="s">
        <v>24</v>
      </c>
      <c r="C291" s="4">
        <v>45517</v>
      </c>
      <c r="D291" s="1" t="s">
        <v>15</v>
      </c>
      <c r="E291" s="1" t="s">
        <v>20</v>
      </c>
      <c r="F291" s="3">
        <v>3418</v>
      </c>
      <c r="G291" s="3">
        <v>107</v>
      </c>
      <c r="H291" s="3">
        <v>221</v>
      </c>
      <c r="I291" s="3">
        <v>23927</v>
      </c>
      <c r="J291" s="3">
        <v>26182</v>
      </c>
      <c r="K291" s="3">
        <v>155</v>
      </c>
      <c r="L291" s="1" t="s">
        <v>45</v>
      </c>
      <c r="M291" s="1" t="s">
        <v>22</v>
      </c>
    </row>
    <row r="292" spans="1:13" ht="15.75" customHeight="1">
      <c r="A292" s="1" t="s">
        <v>331</v>
      </c>
      <c r="B292" s="1" t="s">
        <v>14</v>
      </c>
      <c r="C292" s="4">
        <v>45472</v>
      </c>
      <c r="D292" s="1" t="s">
        <v>15</v>
      </c>
      <c r="E292" s="1" t="s">
        <v>51</v>
      </c>
      <c r="F292" s="3">
        <v>2088</v>
      </c>
      <c r="G292" s="3">
        <v>490</v>
      </c>
      <c r="H292" s="3">
        <v>124</v>
      </c>
      <c r="I292" s="3">
        <v>46544</v>
      </c>
      <c r="J292" s="3">
        <v>69346</v>
      </c>
      <c r="K292" s="3">
        <v>178</v>
      </c>
      <c r="L292" s="1" t="s">
        <v>17</v>
      </c>
      <c r="M292" s="1" t="s">
        <v>18</v>
      </c>
    </row>
    <row r="293" spans="1:13" ht="15.75" customHeight="1">
      <c r="A293" s="1" t="s">
        <v>332</v>
      </c>
      <c r="B293" s="1" t="s">
        <v>24</v>
      </c>
      <c r="C293" s="4">
        <v>45599</v>
      </c>
      <c r="D293" s="1" t="s">
        <v>25</v>
      </c>
      <c r="E293" s="1" t="s">
        <v>20</v>
      </c>
      <c r="F293" s="3">
        <v>3061</v>
      </c>
      <c r="G293" s="3">
        <v>320</v>
      </c>
      <c r="H293" s="3">
        <v>76</v>
      </c>
      <c r="I293" s="3">
        <v>26640</v>
      </c>
      <c r="J293" s="3">
        <v>24306</v>
      </c>
      <c r="K293" s="3">
        <v>112</v>
      </c>
      <c r="L293" s="1" t="s">
        <v>27</v>
      </c>
      <c r="M293" s="1" t="s">
        <v>18</v>
      </c>
    </row>
    <row r="294" spans="1:13" ht="15.75" customHeight="1">
      <c r="A294" s="1" t="s">
        <v>333</v>
      </c>
      <c r="B294" s="1" t="s">
        <v>31</v>
      </c>
      <c r="C294" s="4">
        <v>45765</v>
      </c>
      <c r="D294" s="1" t="s">
        <v>57</v>
      </c>
      <c r="E294" s="1" t="s">
        <v>51</v>
      </c>
      <c r="F294" s="3">
        <v>1265</v>
      </c>
      <c r="G294" s="3">
        <v>230</v>
      </c>
      <c r="H294" s="3">
        <v>364</v>
      </c>
      <c r="I294" s="3">
        <v>41312</v>
      </c>
      <c r="J294" s="3">
        <v>50382</v>
      </c>
      <c r="K294" s="3">
        <v>106</v>
      </c>
      <c r="L294" s="1" t="s">
        <v>58</v>
      </c>
      <c r="M294" s="1" t="s">
        <v>59</v>
      </c>
    </row>
    <row r="295" spans="1:13" ht="15.75" customHeight="1">
      <c r="A295" s="1" t="s">
        <v>334</v>
      </c>
      <c r="B295" s="1" t="s">
        <v>14</v>
      </c>
      <c r="C295" s="4">
        <v>45653</v>
      </c>
      <c r="D295" s="1" t="s">
        <v>15</v>
      </c>
      <c r="E295" s="1" t="s">
        <v>49</v>
      </c>
      <c r="F295" s="3">
        <v>1436</v>
      </c>
      <c r="G295" s="3">
        <v>219</v>
      </c>
      <c r="H295" s="3">
        <v>229</v>
      </c>
      <c r="I295" s="3">
        <v>58488</v>
      </c>
      <c r="J295" s="3">
        <v>24314</v>
      </c>
      <c r="K295" s="3">
        <v>147</v>
      </c>
      <c r="L295" s="1" t="s">
        <v>21</v>
      </c>
      <c r="M295" s="1" t="s">
        <v>22</v>
      </c>
    </row>
    <row r="296" spans="1:13" ht="15.75" customHeight="1">
      <c r="A296" s="1" t="s">
        <v>335</v>
      </c>
      <c r="B296" s="1" t="s">
        <v>14</v>
      </c>
      <c r="C296" s="4">
        <v>45724</v>
      </c>
      <c r="D296" s="1" t="s">
        <v>25</v>
      </c>
      <c r="E296" s="1" t="s">
        <v>41</v>
      </c>
      <c r="F296" s="3">
        <v>2244</v>
      </c>
      <c r="G296" s="3">
        <v>392</v>
      </c>
      <c r="H296" s="3">
        <v>231</v>
      </c>
      <c r="I296" s="3">
        <v>25834</v>
      </c>
      <c r="J296" s="3">
        <v>50906</v>
      </c>
      <c r="K296" s="3">
        <v>165</v>
      </c>
      <c r="L296" s="1" t="s">
        <v>42</v>
      </c>
      <c r="M296" s="1" t="s">
        <v>55</v>
      </c>
    </row>
    <row r="297" spans="1:13" ht="15.75" customHeight="1">
      <c r="A297" s="1" t="s">
        <v>336</v>
      </c>
      <c r="B297" s="1" t="s">
        <v>24</v>
      </c>
      <c r="C297" s="4">
        <v>45736</v>
      </c>
      <c r="D297" s="1" t="s">
        <v>25</v>
      </c>
      <c r="E297" s="1" t="s">
        <v>51</v>
      </c>
      <c r="F297" s="3">
        <v>3393</v>
      </c>
      <c r="G297" s="3">
        <v>104</v>
      </c>
      <c r="H297" s="3">
        <v>79</v>
      </c>
      <c r="I297" s="3">
        <v>30025</v>
      </c>
      <c r="J297" s="3">
        <v>21593</v>
      </c>
      <c r="K297" s="3">
        <v>165</v>
      </c>
      <c r="L297" s="1" t="s">
        <v>27</v>
      </c>
      <c r="M297" s="1" t="s">
        <v>18</v>
      </c>
    </row>
    <row r="298" spans="1:13" ht="15.75" customHeight="1">
      <c r="A298" s="1" t="s">
        <v>337</v>
      </c>
      <c r="B298" s="1" t="s">
        <v>24</v>
      </c>
      <c r="C298" s="4">
        <v>45612</v>
      </c>
      <c r="D298" s="1" t="s">
        <v>15</v>
      </c>
      <c r="E298" s="1" t="s">
        <v>20</v>
      </c>
      <c r="F298" s="3">
        <v>2901</v>
      </c>
      <c r="G298" s="3">
        <v>108</v>
      </c>
      <c r="H298" s="3">
        <v>86</v>
      </c>
      <c r="I298" s="3">
        <v>51777</v>
      </c>
      <c r="J298" s="3">
        <v>23773</v>
      </c>
      <c r="K298" s="3">
        <v>160</v>
      </c>
      <c r="L298" s="1" t="s">
        <v>45</v>
      </c>
      <c r="M298" s="1" t="s">
        <v>22</v>
      </c>
    </row>
    <row r="299" spans="1:13" ht="15.75" customHeight="1">
      <c r="A299" s="1" t="s">
        <v>338</v>
      </c>
      <c r="B299" s="1" t="s">
        <v>24</v>
      </c>
      <c r="C299" s="4">
        <v>45838</v>
      </c>
      <c r="D299" s="1" t="s">
        <v>15</v>
      </c>
      <c r="E299" s="1" t="s">
        <v>35</v>
      </c>
      <c r="F299" s="3">
        <v>2275</v>
      </c>
      <c r="G299" s="3">
        <v>285</v>
      </c>
      <c r="H299" s="3">
        <v>125</v>
      </c>
      <c r="I299" s="3">
        <v>43970</v>
      </c>
      <c r="J299" s="3">
        <v>74761</v>
      </c>
      <c r="K299" s="3">
        <v>83</v>
      </c>
      <c r="L299" s="1" t="s">
        <v>42</v>
      </c>
      <c r="M299" s="1" t="s">
        <v>18</v>
      </c>
    </row>
    <row r="300" spans="1:13" ht="15.75" customHeight="1">
      <c r="A300" s="1" t="s">
        <v>339</v>
      </c>
      <c r="B300" s="1" t="s">
        <v>24</v>
      </c>
      <c r="C300" s="4">
        <v>45303</v>
      </c>
      <c r="D300" s="1" t="s">
        <v>25</v>
      </c>
      <c r="E300" s="1" t="s">
        <v>29</v>
      </c>
      <c r="F300" s="3">
        <v>2227</v>
      </c>
      <c r="G300" s="3">
        <v>494</v>
      </c>
      <c r="H300" s="3">
        <v>161</v>
      </c>
      <c r="I300" s="3">
        <v>51651</v>
      </c>
      <c r="J300" s="3">
        <v>68074</v>
      </c>
      <c r="K300" s="3">
        <v>240</v>
      </c>
      <c r="L300" s="1" t="s">
        <v>39</v>
      </c>
      <c r="M300" s="1" t="s">
        <v>18</v>
      </c>
    </row>
    <row r="301" spans="1:13" ht="15.75" customHeight="1">
      <c r="A301" s="1" t="s">
        <v>340</v>
      </c>
      <c r="B301" s="1" t="s">
        <v>14</v>
      </c>
      <c r="C301" s="4">
        <v>45329</v>
      </c>
      <c r="D301" s="1" t="s">
        <v>15</v>
      </c>
      <c r="E301" s="1" t="s">
        <v>32</v>
      </c>
      <c r="F301" s="3">
        <v>1883</v>
      </c>
      <c r="G301" s="3">
        <v>432</v>
      </c>
      <c r="H301" s="3">
        <v>397</v>
      </c>
      <c r="I301" s="3">
        <v>28759</v>
      </c>
      <c r="J301" s="3">
        <v>18691</v>
      </c>
      <c r="K301" s="3">
        <v>270</v>
      </c>
      <c r="L301" s="1" t="s">
        <v>17</v>
      </c>
      <c r="M301" s="1" t="s">
        <v>18</v>
      </c>
    </row>
    <row r="302" spans="1:13" ht="15.75" customHeight="1"/>
    <row r="303" spans="1:13" ht="15.75" customHeight="1"/>
    <row r="304" spans="1:13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/>
  <cols>
    <col min="1" max="2" width="23.88671875" customWidth="1"/>
    <col min="3" max="4" width="8.6640625" customWidth="1"/>
    <col min="5" max="5" width="10.44140625" customWidth="1"/>
    <col min="6" max="6" width="10.6640625" customWidth="1"/>
    <col min="7" max="26" width="8.6640625" customWidth="1"/>
  </cols>
  <sheetData>
    <row r="1" spans="1:7" ht="14.4">
      <c r="A1" s="1" t="s">
        <v>341</v>
      </c>
      <c r="B1" s="1" t="s">
        <v>1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</row>
    <row r="2" spans="1:7" ht="14.4">
      <c r="A2" s="2">
        <v>45446</v>
      </c>
      <c r="B2" s="1" t="s">
        <v>14</v>
      </c>
      <c r="C2" s="3">
        <v>1402</v>
      </c>
      <c r="D2" s="3">
        <v>68</v>
      </c>
      <c r="E2" s="3">
        <v>124562</v>
      </c>
      <c r="F2" s="3">
        <v>9.92</v>
      </c>
      <c r="G2" s="3">
        <v>23125</v>
      </c>
    </row>
    <row r="3" spans="1:7" ht="14.4">
      <c r="A3" s="2">
        <v>45446</v>
      </c>
      <c r="B3" s="1" t="s">
        <v>24</v>
      </c>
      <c r="C3" s="3">
        <v>995</v>
      </c>
      <c r="D3" s="3">
        <v>86</v>
      </c>
      <c r="E3" s="3">
        <v>227958</v>
      </c>
      <c r="F3" s="3">
        <v>8.0500000000000007</v>
      </c>
      <c r="G3" s="3">
        <v>22788</v>
      </c>
    </row>
    <row r="4" spans="1:7" ht="14.4">
      <c r="A4" s="2">
        <v>45446</v>
      </c>
      <c r="B4" s="1" t="s">
        <v>31</v>
      </c>
      <c r="C4" s="3">
        <v>1472</v>
      </c>
      <c r="D4" s="3">
        <v>296</v>
      </c>
      <c r="E4" s="3">
        <v>370242</v>
      </c>
      <c r="F4" s="3">
        <v>7.72</v>
      </c>
      <c r="G4" s="3">
        <v>7810</v>
      </c>
    </row>
    <row r="5" spans="1:7" ht="14.4">
      <c r="A5" s="4">
        <v>45453</v>
      </c>
      <c r="B5" s="1" t="s">
        <v>14</v>
      </c>
      <c r="C5" s="3">
        <v>1018</v>
      </c>
      <c r="D5" s="3">
        <v>90</v>
      </c>
      <c r="E5" s="3">
        <v>92474</v>
      </c>
      <c r="F5" s="3">
        <v>9.4</v>
      </c>
      <c r="G5" s="3">
        <v>11966</v>
      </c>
    </row>
    <row r="6" spans="1:7" ht="14.4">
      <c r="A6" s="4">
        <v>45453</v>
      </c>
      <c r="B6" s="1" t="s">
        <v>24</v>
      </c>
      <c r="C6" s="3">
        <v>1461</v>
      </c>
      <c r="D6" s="3">
        <v>64</v>
      </c>
      <c r="E6" s="3">
        <v>328902</v>
      </c>
      <c r="F6" s="3">
        <v>9.02</v>
      </c>
      <c r="G6" s="3">
        <v>26298</v>
      </c>
    </row>
    <row r="7" spans="1:7" ht="14.4">
      <c r="A7" s="4">
        <v>45453</v>
      </c>
      <c r="B7" s="1" t="s">
        <v>31</v>
      </c>
      <c r="C7" s="3">
        <v>545</v>
      </c>
      <c r="D7" s="3">
        <v>93</v>
      </c>
      <c r="E7" s="3">
        <v>391621</v>
      </c>
      <c r="F7" s="3">
        <v>9.9600000000000009</v>
      </c>
      <c r="G7" s="3">
        <v>22029</v>
      </c>
    </row>
    <row r="8" spans="1:7" ht="14.4">
      <c r="A8" s="4">
        <v>45460</v>
      </c>
      <c r="B8" s="1" t="s">
        <v>14</v>
      </c>
      <c r="C8" s="3">
        <v>881</v>
      </c>
      <c r="D8" s="3">
        <v>291</v>
      </c>
      <c r="E8" s="3">
        <v>95885</v>
      </c>
      <c r="F8" s="3">
        <v>5.29</v>
      </c>
      <c r="G8" s="3">
        <v>12391</v>
      </c>
    </row>
    <row r="9" spans="1:7" ht="14.4">
      <c r="A9" s="4">
        <v>45460</v>
      </c>
      <c r="B9" s="1" t="s">
        <v>24</v>
      </c>
      <c r="C9" s="3">
        <v>1414</v>
      </c>
      <c r="D9" s="3">
        <v>131</v>
      </c>
      <c r="E9" s="3">
        <v>245947</v>
      </c>
      <c r="F9" s="3">
        <v>8.3000000000000007</v>
      </c>
      <c r="G9" s="3">
        <v>14477</v>
      </c>
    </row>
    <row r="10" spans="1:7" ht="14.4">
      <c r="A10" s="4">
        <v>45460</v>
      </c>
      <c r="B10" s="1" t="s">
        <v>31</v>
      </c>
      <c r="C10" s="3">
        <v>1472</v>
      </c>
      <c r="D10" s="3">
        <v>170</v>
      </c>
      <c r="E10" s="3">
        <v>250428</v>
      </c>
      <c r="F10" s="3">
        <v>4.66</v>
      </c>
      <c r="G10" s="3">
        <v>25040</v>
      </c>
    </row>
    <row r="11" spans="1:7" ht="14.4">
      <c r="A11" s="4">
        <v>45467</v>
      </c>
      <c r="B11" s="1" t="s">
        <v>14</v>
      </c>
      <c r="C11" s="3">
        <v>809</v>
      </c>
      <c r="D11" s="3">
        <v>197</v>
      </c>
      <c r="E11" s="3">
        <v>87186</v>
      </c>
      <c r="F11" s="3">
        <v>9.48</v>
      </c>
      <c r="G11" s="3">
        <v>22619</v>
      </c>
    </row>
    <row r="12" spans="1:7" ht="14.4">
      <c r="A12" s="4">
        <v>45467</v>
      </c>
      <c r="B12" s="1" t="s">
        <v>24</v>
      </c>
      <c r="C12" s="3">
        <v>1371</v>
      </c>
      <c r="D12" s="3">
        <v>250</v>
      </c>
      <c r="E12" s="3">
        <v>128620</v>
      </c>
      <c r="F12" s="3">
        <v>7.11</v>
      </c>
      <c r="G12" s="3">
        <v>12399</v>
      </c>
    </row>
    <row r="13" spans="1:7" ht="14.4">
      <c r="A13" s="4">
        <v>45467</v>
      </c>
      <c r="B13" s="1" t="s">
        <v>31</v>
      </c>
      <c r="C13" s="3">
        <v>844</v>
      </c>
      <c r="D13" s="3">
        <v>144</v>
      </c>
      <c r="E13" s="3">
        <v>126015</v>
      </c>
      <c r="F13" s="3">
        <v>9.65</v>
      </c>
      <c r="G13" s="3">
        <v>22456</v>
      </c>
    </row>
    <row r="14" spans="1:7" ht="14.4">
      <c r="A14" s="2">
        <v>45474</v>
      </c>
      <c r="B14" s="1" t="s">
        <v>14</v>
      </c>
      <c r="C14" s="3">
        <v>786</v>
      </c>
      <c r="D14" s="3">
        <v>72</v>
      </c>
      <c r="E14" s="3">
        <v>178615</v>
      </c>
      <c r="F14" s="3">
        <v>5.43</v>
      </c>
      <c r="G14" s="3">
        <v>19328</v>
      </c>
    </row>
    <row r="15" spans="1:7" ht="14.4">
      <c r="A15" s="2">
        <v>45474</v>
      </c>
      <c r="B15" s="1" t="s">
        <v>24</v>
      </c>
      <c r="C15" s="3">
        <v>845</v>
      </c>
      <c r="D15" s="3">
        <v>250</v>
      </c>
      <c r="E15" s="3">
        <v>218228</v>
      </c>
      <c r="F15" s="3">
        <v>4.5199999999999996</v>
      </c>
      <c r="G15" s="3">
        <v>21107</v>
      </c>
    </row>
    <row r="16" spans="1:7" ht="14.4">
      <c r="A16" s="2">
        <v>45474</v>
      </c>
      <c r="B16" s="1" t="s">
        <v>31</v>
      </c>
      <c r="C16" s="3">
        <v>1218</v>
      </c>
      <c r="D16" s="3">
        <v>101</v>
      </c>
      <c r="E16" s="3">
        <v>300397</v>
      </c>
      <c r="F16" s="3">
        <v>4.33</v>
      </c>
      <c r="G16" s="3">
        <v>12277</v>
      </c>
    </row>
    <row r="17" spans="1:7" ht="14.4">
      <c r="A17" s="2">
        <v>45481</v>
      </c>
      <c r="B17" s="1" t="s">
        <v>14</v>
      </c>
      <c r="C17" s="3">
        <v>797</v>
      </c>
      <c r="D17" s="3">
        <v>130</v>
      </c>
      <c r="E17" s="3">
        <v>340121</v>
      </c>
      <c r="F17" s="3">
        <v>8.52</v>
      </c>
      <c r="G17" s="3">
        <v>11684</v>
      </c>
    </row>
    <row r="18" spans="1:7" ht="14.4">
      <c r="A18" s="2">
        <v>45481</v>
      </c>
      <c r="B18" s="1" t="s">
        <v>24</v>
      </c>
      <c r="C18" s="3">
        <v>1471</v>
      </c>
      <c r="D18" s="3">
        <v>100</v>
      </c>
      <c r="E18" s="3">
        <v>76866</v>
      </c>
      <c r="F18" s="3">
        <v>8.5500000000000007</v>
      </c>
      <c r="G18" s="3">
        <v>14412</v>
      </c>
    </row>
    <row r="19" spans="1:7" ht="14.4">
      <c r="A19" s="2">
        <v>45481</v>
      </c>
      <c r="B19" s="1" t="s">
        <v>31</v>
      </c>
      <c r="C19" s="3">
        <v>1253</v>
      </c>
      <c r="D19" s="3">
        <v>136</v>
      </c>
      <c r="E19" s="3">
        <v>193131</v>
      </c>
      <c r="F19" s="3">
        <v>7.99</v>
      </c>
      <c r="G19" s="3">
        <v>15924</v>
      </c>
    </row>
    <row r="20" spans="1:7" ht="14.4">
      <c r="A20" s="4">
        <v>45488</v>
      </c>
      <c r="B20" s="1" t="s">
        <v>14</v>
      </c>
      <c r="C20" s="3">
        <v>616</v>
      </c>
      <c r="D20" s="3">
        <v>257</v>
      </c>
      <c r="E20" s="3">
        <v>169665</v>
      </c>
      <c r="F20" s="3">
        <v>6.31</v>
      </c>
      <c r="G20" s="3">
        <v>12390</v>
      </c>
    </row>
    <row r="21" spans="1:7" ht="15.75" customHeight="1">
      <c r="A21" s="4">
        <v>45488</v>
      </c>
      <c r="B21" s="1" t="s">
        <v>24</v>
      </c>
      <c r="C21" s="3">
        <v>1308</v>
      </c>
      <c r="D21" s="3">
        <v>210</v>
      </c>
      <c r="E21" s="3">
        <v>263729</v>
      </c>
      <c r="F21" s="3">
        <v>8.5299999999999994</v>
      </c>
      <c r="G21" s="3">
        <v>25742</v>
      </c>
    </row>
    <row r="22" spans="1:7" ht="15.75" customHeight="1">
      <c r="A22" s="4">
        <v>45488</v>
      </c>
      <c r="B22" s="1" t="s">
        <v>31</v>
      </c>
      <c r="C22" s="3">
        <v>981</v>
      </c>
      <c r="D22" s="3">
        <v>69</v>
      </c>
      <c r="E22" s="3">
        <v>206921</v>
      </c>
      <c r="F22" s="3">
        <v>8.42</v>
      </c>
      <c r="G22" s="3">
        <v>10495</v>
      </c>
    </row>
    <row r="23" spans="1:7" ht="15.75" customHeight="1">
      <c r="A23" s="4">
        <v>45495</v>
      </c>
      <c r="B23" s="1" t="s">
        <v>14</v>
      </c>
      <c r="C23" s="3">
        <v>866</v>
      </c>
      <c r="D23" s="3">
        <v>74</v>
      </c>
      <c r="E23" s="3">
        <v>204121</v>
      </c>
      <c r="F23" s="3">
        <v>9.34</v>
      </c>
      <c r="G23" s="3">
        <v>7797</v>
      </c>
    </row>
    <row r="24" spans="1:7" ht="15.75" customHeight="1">
      <c r="A24" s="4">
        <v>45495</v>
      </c>
      <c r="B24" s="1" t="s">
        <v>24</v>
      </c>
      <c r="C24" s="3">
        <v>547</v>
      </c>
      <c r="D24" s="3">
        <v>183</v>
      </c>
      <c r="E24" s="3">
        <v>266350</v>
      </c>
      <c r="F24" s="3">
        <v>5.65</v>
      </c>
      <c r="G24" s="3">
        <v>15595</v>
      </c>
    </row>
    <row r="25" spans="1:7" ht="15.75" customHeight="1">
      <c r="A25" s="4">
        <v>45495</v>
      </c>
      <c r="B25" s="1" t="s">
        <v>31</v>
      </c>
      <c r="C25" s="3">
        <v>1241</v>
      </c>
      <c r="D25" s="3">
        <v>116</v>
      </c>
      <c r="E25" s="3">
        <v>380606</v>
      </c>
      <c r="F25" s="3">
        <v>4.2</v>
      </c>
      <c r="G25" s="3">
        <v>24617</v>
      </c>
    </row>
    <row r="26" spans="1:7" ht="15.75" customHeight="1">
      <c r="A26" s="4">
        <v>45502</v>
      </c>
      <c r="B26" s="1" t="s">
        <v>14</v>
      </c>
      <c r="C26" s="3">
        <v>973</v>
      </c>
      <c r="D26" s="3">
        <v>104</v>
      </c>
      <c r="E26" s="3">
        <v>376358</v>
      </c>
      <c r="F26" s="3">
        <v>3.87</v>
      </c>
      <c r="G26" s="3">
        <v>9847</v>
      </c>
    </row>
    <row r="27" spans="1:7" ht="15.75" customHeight="1">
      <c r="A27" s="4">
        <v>45502</v>
      </c>
      <c r="B27" s="1" t="s">
        <v>24</v>
      </c>
      <c r="C27" s="3">
        <v>611</v>
      </c>
      <c r="D27" s="3">
        <v>197</v>
      </c>
      <c r="E27" s="3">
        <v>79423</v>
      </c>
      <c r="F27" s="3">
        <v>5.82</v>
      </c>
      <c r="G27" s="3">
        <v>13644</v>
      </c>
    </row>
    <row r="28" spans="1:7" ht="15.75" customHeight="1">
      <c r="A28" s="4">
        <v>45502</v>
      </c>
      <c r="B28" s="1" t="s">
        <v>31</v>
      </c>
      <c r="C28" s="3">
        <v>983</v>
      </c>
      <c r="D28" s="3">
        <v>134</v>
      </c>
      <c r="E28" s="3">
        <v>352178</v>
      </c>
      <c r="F28" s="3">
        <v>3.55</v>
      </c>
      <c r="G28" s="3">
        <v>11421</v>
      </c>
    </row>
    <row r="29" spans="1:7" ht="15.75" customHeight="1">
      <c r="A29" s="4">
        <v>45509</v>
      </c>
      <c r="B29" s="1" t="s">
        <v>14</v>
      </c>
      <c r="C29" s="3">
        <v>1449</v>
      </c>
      <c r="D29" s="3">
        <v>96</v>
      </c>
      <c r="E29" s="3">
        <v>200636</v>
      </c>
      <c r="F29" s="3">
        <v>9.92</v>
      </c>
      <c r="G29" s="3">
        <v>15613</v>
      </c>
    </row>
    <row r="30" spans="1:7" ht="15.75" customHeight="1">
      <c r="A30" s="4">
        <v>45509</v>
      </c>
      <c r="B30" s="1" t="s">
        <v>24</v>
      </c>
      <c r="C30" s="3">
        <v>752</v>
      </c>
      <c r="D30" s="3">
        <v>170</v>
      </c>
      <c r="E30" s="3">
        <v>132756</v>
      </c>
      <c r="F30" s="3">
        <v>8.17</v>
      </c>
      <c r="G30" s="3">
        <v>23900</v>
      </c>
    </row>
    <row r="31" spans="1:7" ht="15.75" customHeight="1">
      <c r="A31" s="4">
        <v>45509</v>
      </c>
      <c r="B31" s="1" t="s">
        <v>31</v>
      </c>
      <c r="C31" s="3">
        <v>937</v>
      </c>
      <c r="D31" s="3">
        <v>179</v>
      </c>
      <c r="E31" s="3">
        <v>318098</v>
      </c>
      <c r="F31" s="3">
        <v>5.3</v>
      </c>
      <c r="G31" s="3">
        <v>5836</v>
      </c>
    </row>
    <row r="32" spans="1:7" ht="15.75" customHeight="1">
      <c r="A32" s="4">
        <v>45516</v>
      </c>
      <c r="B32" s="1" t="s">
        <v>14</v>
      </c>
      <c r="C32" s="3">
        <v>1060</v>
      </c>
      <c r="D32" s="3">
        <v>83</v>
      </c>
      <c r="E32" s="3">
        <v>68724</v>
      </c>
      <c r="F32" s="3">
        <v>5.98</v>
      </c>
      <c r="G32" s="3">
        <v>5624</v>
      </c>
    </row>
    <row r="33" spans="1:7" ht="15.75" customHeight="1">
      <c r="A33" s="4">
        <v>45516</v>
      </c>
      <c r="B33" s="1" t="s">
        <v>24</v>
      </c>
      <c r="C33" s="3">
        <v>1456</v>
      </c>
      <c r="D33" s="3">
        <v>265</v>
      </c>
      <c r="E33" s="3">
        <v>115505</v>
      </c>
      <c r="F33" s="3">
        <v>7.49</v>
      </c>
      <c r="G33" s="3">
        <v>10311</v>
      </c>
    </row>
    <row r="34" spans="1:7" ht="15.75" customHeight="1">
      <c r="A34" s="4">
        <v>45516</v>
      </c>
      <c r="B34" s="1" t="s">
        <v>31</v>
      </c>
      <c r="C34" s="3">
        <v>1109</v>
      </c>
      <c r="D34" s="3">
        <v>205</v>
      </c>
      <c r="E34" s="3">
        <v>276722</v>
      </c>
      <c r="F34" s="3">
        <v>9.3800000000000008</v>
      </c>
      <c r="G34" s="3">
        <v>8274</v>
      </c>
    </row>
    <row r="35" spans="1:7" ht="15.75" customHeight="1">
      <c r="A35" s="4">
        <v>45523</v>
      </c>
      <c r="B35" s="1" t="s">
        <v>14</v>
      </c>
      <c r="C35" s="3">
        <v>1002</v>
      </c>
      <c r="D35" s="3">
        <v>93</v>
      </c>
      <c r="E35" s="3">
        <v>353538</v>
      </c>
      <c r="F35" s="3">
        <v>5.84</v>
      </c>
      <c r="G35" s="3">
        <v>6031</v>
      </c>
    </row>
    <row r="36" spans="1:7" ht="15.75" customHeight="1">
      <c r="A36" s="4">
        <v>45523</v>
      </c>
      <c r="B36" s="1" t="s">
        <v>24</v>
      </c>
      <c r="C36" s="3">
        <v>571</v>
      </c>
      <c r="D36" s="3">
        <v>189</v>
      </c>
      <c r="E36" s="3">
        <v>61445</v>
      </c>
      <c r="F36" s="3">
        <v>5.41</v>
      </c>
      <c r="G36" s="3">
        <v>27829</v>
      </c>
    </row>
    <row r="37" spans="1:7" ht="15.75" customHeight="1">
      <c r="A37" s="4">
        <v>45523</v>
      </c>
      <c r="B37" s="1" t="s">
        <v>31</v>
      </c>
      <c r="C37" s="3">
        <v>1240</v>
      </c>
      <c r="D37" s="3">
        <v>231</v>
      </c>
      <c r="E37" s="3">
        <v>165035</v>
      </c>
      <c r="F37" s="3">
        <v>6.05</v>
      </c>
      <c r="G37" s="3">
        <v>18267</v>
      </c>
    </row>
    <row r="38" spans="1:7" ht="15.75" customHeight="1">
      <c r="A38" s="4">
        <v>45530</v>
      </c>
      <c r="B38" s="1" t="s">
        <v>14</v>
      </c>
      <c r="C38" s="3">
        <v>1154</v>
      </c>
      <c r="D38" s="3">
        <v>132</v>
      </c>
      <c r="E38" s="3">
        <v>194595</v>
      </c>
      <c r="F38" s="3">
        <v>7.54</v>
      </c>
      <c r="G38" s="3">
        <v>26624</v>
      </c>
    </row>
    <row r="39" spans="1:7" ht="15.75" customHeight="1">
      <c r="A39" s="4">
        <v>45530</v>
      </c>
      <c r="B39" s="1" t="s">
        <v>24</v>
      </c>
      <c r="C39" s="3">
        <v>537</v>
      </c>
      <c r="D39" s="3">
        <v>275</v>
      </c>
      <c r="E39" s="3">
        <v>236238</v>
      </c>
      <c r="F39" s="3">
        <v>5.87</v>
      </c>
      <c r="G39" s="3">
        <v>26644</v>
      </c>
    </row>
    <row r="40" spans="1:7" ht="15.75" customHeight="1">
      <c r="A40" s="4">
        <v>45530</v>
      </c>
      <c r="B40" s="1" t="s">
        <v>31</v>
      </c>
      <c r="C40" s="3">
        <v>1456</v>
      </c>
      <c r="D40" s="3">
        <v>290</v>
      </c>
      <c r="E40" s="3">
        <v>271044</v>
      </c>
      <c r="F40" s="3">
        <v>7.17</v>
      </c>
      <c r="G40" s="3">
        <v>13051</v>
      </c>
    </row>
    <row r="41" spans="1:7" ht="15.75" customHeight="1">
      <c r="A41" s="4">
        <v>45537</v>
      </c>
      <c r="B41" s="1" t="s">
        <v>14</v>
      </c>
      <c r="C41" s="3">
        <v>721</v>
      </c>
      <c r="D41" s="3">
        <v>206</v>
      </c>
      <c r="E41" s="3">
        <v>334887</v>
      </c>
      <c r="F41" s="3">
        <v>6.05</v>
      </c>
      <c r="G41" s="3">
        <v>14217</v>
      </c>
    </row>
    <row r="42" spans="1:7" ht="15.75" customHeight="1">
      <c r="A42" s="4">
        <v>45537</v>
      </c>
      <c r="B42" s="1" t="s">
        <v>24</v>
      </c>
      <c r="C42" s="3">
        <v>1098</v>
      </c>
      <c r="D42" s="3">
        <v>142</v>
      </c>
      <c r="E42" s="3">
        <v>359150</v>
      </c>
      <c r="F42" s="3">
        <v>7.51</v>
      </c>
      <c r="G42" s="3">
        <v>16385</v>
      </c>
    </row>
    <row r="43" spans="1:7" ht="15.75" customHeight="1">
      <c r="A43" s="4">
        <v>45537</v>
      </c>
      <c r="B43" s="1" t="s">
        <v>31</v>
      </c>
      <c r="C43" s="3">
        <v>1096</v>
      </c>
      <c r="D43" s="3">
        <v>65</v>
      </c>
      <c r="E43" s="3">
        <v>358295</v>
      </c>
      <c r="F43" s="3">
        <v>7.66</v>
      </c>
      <c r="G43" s="3">
        <v>24548</v>
      </c>
    </row>
    <row r="44" spans="1:7" ht="15.75" customHeight="1">
      <c r="A44" s="4">
        <v>45544</v>
      </c>
      <c r="B44" s="1" t="s">
        <v>14</v>
      </c>
      <c r="C44" s="3">
        <v>912</v>
      </c>
      <c r="D44" s="3">
        <v>275</v>
      </c>
      <c r="E44" s="3">
        <v>368454</v>
      </c>
      <c r="F44" s="3">
        <v>6.03</v>
      </c>
      <c r="G44" s="3">
        <v>9195</v>
      </c>
    </row>
    <row r="45" spans="1:7" ht="15.75" customHeight="1">
      <c r="A45" s="4">
        <v>45544</v>
      </c>
      <c r="B45" s="1" t="s">
        <v>24</v>
      </c>
      <c r="C45" s="3">
        <v>1430</v>
      </c>
      <c r="D45" s="3">
        <v>162</v>
      </c>
      <c r="E45" s="3">
        <v>269082</v>
      </c>
      <c r="F45" s="3">
        <v>3.4</v>
      </c>
      <c r="G45" s="3">
        <v>18071</v>
      </c>
    </row>
    <row r="46" spans="1:7" ht="15.75" customHeight="1">
      <c r="A46" s="4">
        <v>45544</v>
      </c>
      <c r="B46" s="1" t="s">
        <v>31</v>
      </c>
      <c r="C46" s="3">
        <v>854</v>
      </c>
      <c r="D46" s="3">
        <v>129</v>
      </c>
      <c r="E46" s="3">
        <v>310903</v>
      </c>
      <c r="F46" s="3">
        <v>7.83</v>
      </c>
      <c r="G46" s="3">
        <v>16875</v>
      </c>
    </row>
    <row r="47" spans="1:7" ht="15.75" customHeight="1">
      <c r="A47" s="4">
        <v>45551</v>
      </c>
      <c r="B47" s="1" t="s">
        <v>14</v>
      </c>
      <c r="C47" s="3">
        <v>681</v>
      </c>
      <c r="D47" s="3">
        <v>210</v>
      </c>
      <c r="E47" s="3">
        <v>248581</v>
      </c>
      <c r="F47" s="3">
        <v>8.76</v>
      </c>
      <c r="G47" s="3">
        <v>9567</v>
      </c>
    </row>
    <row r="48" spans="1:7" ht="15.75" customHeight="1">
      <c r="A48" s="4">
        <v>45551</v>
      </c>
      <c r="B48" s="1" t="s">
        <v>24</v>
      </c>
      <c r="C48" s="3">
        <v>1373</v>
      </c>
      <c r="D48" s="3">
        <v>82</v>
      </c>
      <c r="E48" s="3">
        <v>371015</v>
      </c>
      <c r="F48" s="3">
        <v>9.52</v>
      </c>
      <c r="G48" s="3">
        <v>20306</v>
      </c>
    </row>
    <row r="49" spans="1:7" ht="15.75" customHeight="1">
      <c r="A49" s="4">
        <v>45551</v>
      </c>
      <c r="B49" s="1" t="s">
        <v>31</v>
      </c>
      <c r="C49" s="3">
        <v>685</v>
      </c>
      <c r="D49" s="3">
        <v>285</v>
      </c>
      <c r="E49" s="3">
        <v>177452</v>
      </c>
      <c r="F49" s="3">
        <v>3.36</v>
      </c>
      <c r="G49" s="3">
        <v>21134</v>
      </c>
    </row>
    <row r="50" spans="1:7" ht="15.75" customHeight="1">
      <c r="A50" s="4">
        <v>45558</v>
      </c>
      <c r="B50" s="1" t="s">
        <v>14</v>
      </c>
      <c r="C50" s="3">
        <v>1290</v>
      </c>
      <c r="D50" s="3">
        <v>177</v>
      </c>
      <c r="E50" s="3">
        <v>80745</v>
      </c>
      <c r="F50" s="3">
        <v>9.2200000000000006</v>
      </c>
      <c r="G50" s="3">
        <v>26872</v>
      </c>
    </row>
    <row r="51" spans="1:7" ht="15.75" customHeight="1">
      <c r="A51" s="4">
        <v>45558</v>
      </c>
      <c r="B51" s="1" t="s">
        <v>24</v>
      </c>
      <c r="C51" s="3">
        <v>1437</v>
      </c>
      <c r="D51" s="3">
        <v>239</v>
      </c>
      <c r="E51" s="3">
        <v>362441</v>
      </c>
      <c r="F51" s="3">
        <v>5.57</v>
      </c>
      <c r="G51" s="3">
        <v>10253</v>
      </c>
    </row>
    <row r="52" spans="1:7" ht="15.75" customHeight="1">
      <c r="A52" s="4">
        <v>45558</v>
      </c>
      <c r="B52" s="1" t="s">
        <v>31</v>
      </c>
      <c r="C52" s="3">
        <v>769</v>
      </c>
      <c r="D52" s="3">
        <v>295</v>
      </c>
      <c r="E52" s="3">
        <v>344771</v>
      </c>
      <c r="F52" s="3">
        <v>8.06</v>
      </c>
      <c r="G52" s="3">
        <v>23963</v>
      </c>
    </row>
    <row r="53" spans="1:7" ht="15.75" customHeight="1">
      <c r="A53" s="4">
        <v>45565</v>
      </c>
      <c r="B53" s="1" t="s">
        <v>14</v>
      </c>
      <c r="C53" s="3">
        <v>1416</v>
      </c>
      <c r="D53" s="3">
        <v>284</v>
      </c>
      <c r="E53" s="3">
        <v>374952</v>
      </c>
      <c r="F53" s="3">
        <v>3.45</v>
      </c>
      <c r="G53" s="3">
        <v>11335</v>
      </c>
    </row>
    <row r="54" spans="1:7" ht="15.75" customHeight="1">
      <c r="A54" s="4">
        <v>45565</v>
      </c>
      <c r="B54" s="1" t="s">
        <v>24</v>
      </c>
      <c r="C54" s="3">
        <v>998</v>
      </c>
      <c r="D54" s="3">
        <v>154</v>
      </c>
      <c r="E54" s="3">
        <v>179781</v>
      </c>
      <c r="F54" s="3">
        <v>9.58</v>
      </c>
      <c r="G54" s="3">
        <v>12115</v>
      </c>
    </row>
    <row r="55" spans="1:7" ht="15.75" customHeight="1">
      <c r="A55" s="4">
        <v>45565</v>
      </c>
      <c r="B55" s="1" t="s">
        <v>31</v>
      </c>
      <c r="C55" s="3">
        <v>1421</v>
      </c>
      <c r="D55" s="3">
        <v>246</v>
      </c>
      <c r="E55" s="3">
        <v>358581</v>
      </c>
      <c r="F55" s="3">
        <v>8.8800000000000008</v>
      </c>
      <c r="G55" s="3">
        <v>24358</v>
      </c>
    </row>
    <row r="56" spans="1:7" ht="15.75" customHeight="1">
      <c r="A56" s="4">
        <v>45572</v>
      </c>
      <c r="B56" s="1" t="s">
        <v>14</v>
      </c>
      <c r="C56" s="3">
        <v>764</v>
      </c>
      <c r="D56" s="3">
        <v>205</v>
      </c>
      <c r="E56" s="3">
        <v>319294</v>
      </c>
      <c r="F56" s="3">
        <v>6.23</v>
      </c>
      <c r="G56" s="3">
        <v>12181</v>
      </c>
    </row>
    <row r="57" spans="1:7" ht="15.75" customHeight="1">
      <c r="A57" s="4">
        <v>45572</v>
      </c>
      <c r="B57" s="1" t="s">
        <v>24</v>
      </c>
      <c r="C57" s="3">
        <v>678</v>
      </c>
      <c r="D57" s="3">
        <v>124</v>
      </c>
      <c r="E57" s="3">
        <v>192022</v>
      </c>
      <c r="F57" s="3">
        <v>8.4499999999999993</v>
      </c>
      <c r="G57" s="3">
        <v>17729</v>
      </c>
    </row>
    <row r="58" spans="1:7" ht="15.75" customHeight="1">
      <c r="A58" s="4">
        <v>45572</v>
      </c>
      <c r="B58" s="1" t="s">
        <v>31</v>
      </c>
      <c r="C58" s="3">
        <v>1328</v>
      </c>
      <c r="D58" s="3">
        <v>103</v>
      </c>
      <c r="E58" s="3">
        <v>151462</v>
      </c>
      <c r="F58" s="3">
        <v>8.4</v>
      </c>
      <c r="G58" s="3">
        <v>10881</v>
      </c>
    </row>
    <row r="59" spans="1:7" ht="15.75" customHeight="1">
      <c r="A59" s="4">
        <v>45579</v>
      </c>
      <c r="B59" s="1" t="s">
        <v>14</v>
      </c>
      <c r="C59" s="3">
        <v>1161</v>
      </c>
      <c r="D59" s="3">
        <v>269</v>
      </c>
      <c r="E59" s="3">
        <v>188193</v>
      </c>
      <c r="F59" s="3">
        <v>7.34</v>
      </c>
      <c r="G59" s="3">
        <v>18576</v>
      </c>
    </row>
    <row r="60" spans="1:7" ht="15.75" customHeight="1">
      <c r="A60" s="4">
        <v>45579</v>
      </c>
      <c r="B60" s="1" t="s">
        <v>24</v>
      </c>
      <c r="C60" s="3">
        <v>588</v>
      </c>
      <c r="D60" s="3">
        <v>52</v>
      </c>
      <c r="E60" s="3">
        <v>292040</v>
      </c>
      <c r="F60" s="3">
        <v>8.14</v>
      </c>
      <c r="G60" s="3">
        <v>9383</v>
      </c>
    </row>
    <row r="61" spans="1:7" ht="15.75" customHeight="1">
      <c r="A61" s="4">
        <v>45579</v>
      </c>
      <c r="B61" s="1" t="s">
        <v>31</v>
      </c>
      <c r="C61" s="3">
        <v>1457</v>
      </c>
      <c r="D61" s="3">
        <v>215</v>
      </c>
      <c r="E61" s="3">
        <v>325325</v>
      </c>
      <c r="F61" s="3">
        <v>9.58</v>
      </c>
      <c r="G61" s="3">
        <v>14178</v>
      </c>
    </row>
    <row r="62" spans="1:7" ht="15.75" customHeight="1">
      <c r="A62" s="4">
        <v>45586</v>
      </c>
      <c r="B62" s="1" t="s">
        <v>14</v>
      </c>
      <c r="C62" s="3">
        <v>1190</v>
      </c>
      <c r="D62" s="3">
        <v>242</v>
      </c>
      <c r="E62" s="3">
        <v>86849</v>
      </c>
      <c r="F62" s="3">
        <v>8.06</v>
      </c>
      <c r="G62" s="3">
        <v>21254</v>
      </c>
    </row>
    <row r="63" spans="1:7" ht="15.75" customHeight="1">
      <c r="A63" s="4">
        <v>45586</v>
      </c>
      <c r="B63" s="1" t="s">
        <v>24</v>
      </c>
      <c r="C63" s="3">
        <v>886</v>
      </c>
      <c r="D63" s="3">
        <v>124</v>
      </c>
      <c r="E63" s="3">
        <v>141161</v>
      </c>
      <c r="F63" s="3">
        <v>8.19</v>
      </c>
      <c r="G63" s="3">
        <v>14215</v>
      </c>
    </row>
    <row r="64" spans="1:7" ht="15.75" customHeight="1">
      <c r="A64" s="4">
        <v>45586</v>
      </c>
      <c r="B64" s="1" t="s">
        <v>31</v>
      </c>
      <c r="C64" s="3">
        <v>1237</v>
      </c>
      <c r="D64" s="3">
        <v>155</v>
      </c>
      <c r="E64" s="3">
        <v>149916</v>
      </c>
      <c r="F64" s="3">
        <v>4.4800000000000004</v>
      </c>
      <c r="G64" s="3">
        <v>16921</v>
      </c>
    </row>
    <row r="65" spans="1:7" ht="15.75" customHeight="1">
      <c r="A65" s="4">
        <v>45593</v>
      </c>
      <c r="B65" s="1" t="s">
        <v>14</v>
      </c>
      <c r="C65" s="3">
        <v>1435</v>
      </c>
      <c r="D65" s="3">
        <v>261</v>
      </c>
      <c r="E65" s="3">
        <v>308533</v>
      </c>
      <c r="F65" s="3">
        <v>4.5199999999999996</v>
      </c>
      <c r="G65" s="3">
        <v>25130</v>
      </c>
    </row>
    <row r="66" spans="1:7" ht="15.75" customHeight="1">
      <c r="A66" s="4">
        <v>45593</v>
      </c>
      <c r="B66" s="1" t="s">
        <v>24</v>
      </c>
      <c r="C66" s="3">
        <v>746</v>
      </c>
      <c r="D66" s="3">
        <v>282</v>
      </c>
      <c r="E66" s="3">
        <v>293894</v>
      </c>
      <c r="F66" s="3">
        <v>5.42</v>
      </c>
      <c r="G66" s="3">
        <v>25537</v>
      </c>
    </row>
    <row r="67" spans="1:7" ht="15.75" customHeight="1">
      <c r="A67" s="4">
        <v>45593</v>
      </c>
      <c r="B67" s="1" t="s">
        <v>31</v>
      </c>
      <c r="C67" s="3">
        <v>759</v>
      </c>
      <c r="D67" s="3">
        <v>216</v>
      </c>
      <c r="E67" s="3">
        <v>147656</v>
      </c>
      <c r="F67" s="3">
        <v>4.08</v>
      </c>
      <c r="G67" s="3">
        <v>24943</v>
      </c>
    </row>
    <row r="68" spans="1:7" ht="15.75" customHeight="1">
      <c r="A68" s="4">
        <v>45600</v>
      </c>
      <c r="B68" s="1" t="s">
        <v>14</v>
      </c>
      <c r="C68" s="3">
        <v>1437</v>
      </c>
      <c r="D68" s="3">
        <v>235</v>
      </c>
      <c r="E68" s="3">
        <v>326791</v>
      </c>
      <c r="F68" s="3">
        <v>4.0599999999999996</v>
      </c>
      <c r="G68" s="3">
        <v>14563</v>
      </c>
    </row>
    <row r="69" spans="1:7" ht="15.75" customHeight="1">
      <c r="A69" s="4">
        <v>45600</v>
      </c>
      <c r="B69" s="1" t="s">
        <v>24</v>
      </c>
      <c r="C69" s="3">
        <v>1463</v>
      </c>
      <c r="D69" s="3">
        <v>73</v>
      </c>
      <c r="E69" s="3">
        <v>348877</v>
      </c>
      <c r="F69" s="3">
        <v>9.91</v>
      </c>
      <c r="G69" s="3">
        <v>26273</v>
      </c>
    </row>
    <row r="70" spans="1:7" ht="15.75" customHeight="1">
      <c r="A70" s="4">
        <v>45600</v>
      </c>
      <c r="B70" s="1" t="s">
        <v>31</v>
      </c>
      <c r="C70" s="3">
        <v>1208</v>
      </c>
      <c r="D70" s="3">
        <v>224</v>
      </c>
      <c r="E70" s="3">
        <v>122730</v>
      </c>
      <c r="F70" s="3">
        <v>8.7200000000000006</v>
      </c>
      <c r="G70" s="3">
        <v>10858</v>
      </c>
    </row>
    <row r="71" spans="1:7" ht="15.75" customHeight="1">
      <c r="A71" s="4">
        <v>45607</v>
      </c>
      <c r="B71" s="1" t="s">
        <v>14</v>
      </c>
      <c r="C71" s="3">
        <v>1391</v>
      </c>
      <c r="D71" s="3">
        <v>187</v>
      </c>
      <c r="E71" s="3">
        <v>306508</v>
      </c>
      <c r="F71" s="3">
        <v>8.3800000000000008</v>
      </c>
      <c r="G71" s="3">
        <v>25038</v>
      </c>
    </row>
    <row r="72" spans="1:7" ht="15.75" customHeight="1">
      <c r="A72" s="4">
        <v>45607</v>
      </c>
      <c r="B72" s="1" t="s">
        <v>24</v>
      </c>
      <c r="C72" s="3">
        <v>655</v>
      </c>
      <c r="D72" s="3">
        <v>123</v>
      </c>
      <c r="E72" s="3">
        <v>202472</v>
      </c>
      <c r="F72" s="3">
        <v>7.56</v>
      </c>
      <c r="G72" s="3">
        <v>9092</v>
      </c>
    </row>
    <row r="73" spans="1:7" ht="15.75" customHeight="1">
      <c r="A73" s="4">
        <v>45607</v>
      </c>
      <c r="B73" s="1" t="s">
        <v>31</v>
      </c>
      <c r="C73" s="3">
        <v>1148</v>
      </c>
      <c r="D73" s="3">
        <v>90</v>
      </c>
      <c r="E73" s="3">
        <v>227249</v>
      </c>
      <c r="F73" s="3">
        <v>7.24</v>
      </c>
      <c r="G73" s="3">
        <v>17662</v>
      </c>
    </row>
    <row r="74" spans="1:7" ht="15.75" customHeight="1">
      <c r="A74" s="4">
        <v>45614</v>
      </c>
      <c r="B74" s="1" t="s">
        <v>14</v>
      </c>
      <c r="C74" s="3">
        <v>946</v>
      </c>
      <c r="D74" s="3">
        <v>270</v>
      </c>
      <c r="E74" s="3">
        <v>246567</v>
      </c>
      <c r="F74" s="3">
        <v>4.53</v>
      </c>
      <c r="G74" s="3">
        <v>5924</v>
      </c>
    </row>
    <row r="75" spans="1:7" ht="15.75" customHeight="1">
      <c r="A75" s="4">
        <v>45614</v>
      </c>
      <c r="B75" s="1" t="s">
        <v>24</v>
      </c>
      <c r="C75" s="3">
        <v>791</v>
      </c>
      <c r="D75" s="3">
        <v>214</v>
      </c>
      <c r="E75" s="3">
        <v>114738</v>
      </c>
      <c r="F75" s="3">
        <v>6.62</v>
      </c>
      <c r="G75" s="3">
        <v>25347</v>
      </c>
    </row>
    <row r="76" spans="1:7" ht="15.75" customHeight="1">
      <c r="A76" s="4">
        <v>45614</v>
      </c>
      <c r="B76" s="1" t="s">
        <v>31</v>
      </c>
      <c r="C76" s="3">
        <v>793</v>
      </c>
      <c r="D76" s="3">
        <v>111</v>
      </c>
      <c r="E76" s="3">
        <v>333500</v>
      </c>
      <c r="F76" s="3">
        <v>6.36</v>
      </c>
      <c r="G76" s="3">
        <v>8910</v>
      </c>
    </row>
    <row r="77" spans="1:7" ht="15.75" customHeight="1">
      <c r="A77" s="4">
        <v>45621</v>
      </c>
      <c r="B77" s="1" t="s">
        <v>14</v>
      </c>
      <c r="C77" s="3">
        <v>663</v>
      </c>
      <c r="D77" s="3">
        <v>213</v>
      </c>
      <c r="E77" s="3">
        <v>352677</v>
      </c>
      <c r="F77" s="3">
        <v>9</v>
      </c>
      <c r="G77" s="3">
        <v>20438</v>
      </c>
    </row>
    <row r="78" spans="1:7" ht="15.75" customHeight="1">
      <c r="A78" s="4">
        <v>45621</v>
      </c>
      <c r="B78" s="1" t="s">
        <v>24</v>
      </c>
      <c r="C78" s="3">
        <v>954</v>
      </c>
      <c r="D78" s="3">
        <v>271</v>
      </c>
      <c r="E78" s="3">
        <v>160936</v>
      </c>
      <c r="F78" s="3">
        <v>8.83</v>
      </c>
      <c r="G78" s="3">
        <v>8760</v>
      </c>
    </row>
    <row r="79" spans="1:7" ht="15.75" customHeight="1">
      <c r="A79" s="4">
        <v>45621</v>
      </c>
      <c r="B79" s="1" t="s">
        <v>31</v>
      </c>
      <c r="C79" s="3">
        <v>1313</v>
      </c>
      <c r="D79" s="3">
        <v>159</v>
      </c>
      <c r="E79" s="3">
        <v>197183</v>
      </c>
      <c r="F79" s="3">
        <v>9.7100000000000009</v>
      </c>
      <c r="G79" s="3">
        <v>6625</v>
      </c>
    </row>
    <row r="80" spans="1:7" ht="15.75" customHeight="1">
      <c r="A80" s="4">
        <v>45628</v>
      </c>
      <c r="B80" s="1" t="s">
        <v>14</v>
      </c>
      <c r="C80" s="3">
        <v>895</v>
      </c>
      <c r="D80" s="3">
        <v>87</v>
      </c>
      <c r="E80" s="3">
        <v>171271</v>
      </c>
      <c r="F80" s="3">
        <v>6.68</v>
      </c>
      <c r="G80" s="3">
        <v>23329</v>
      </c>
    </row>
    <row r="81" spans="1:7" ht="15.75" customHeight="1">
      <c r="A81" s="4">
        <v>45628</v>
      </c>
      <c r="B81" s="1" t="s">
        <v>24</v>
      </c>
      <c r="C81" s="3">
        <v>1027</v>
      </c>
      <c r="D81" s="3">
        <v>156</v>
      </c>
      <c r="E81" s="3">
        <v>111293</v>
      </c>
      <c r="F81" s="3">
        <v>5.51</v>
      </c>
      <c r="G81" s="3">
        <v>7299</v>
      </c>
    </row>
    <row r="82" spans="1:7" ht="15.75" customHeight="1">
      <c r="A82" s="4">
        <v>45628</v>
      </c>
      <c r="B82" s="1" t="s">
        <v>31</v>
      </c>
      <c r="C82" s="3">
        <v>990</v>
      </c>
      <c r="D82" s="3">
        <v>286</v>
      </c>
      <c r="E82" s="3">
        <v>351493</v>
      </c>
      <c r="F82" s="3">
        <v>7.97</v>
      </c>
      <c r="G82" s="3">
        <v>14496</v>
      </c>
    </row>
    <row r="83" spans="1:7" ht="15.75" customHeight="1">
      <c r="A83" s="4">
        <v>45635</v>
      </c>
      <c r="B83" s="1" t="s">
        <v>14</v>
      </c>
      <c r="C83" s="3">
        <v>875</v>
      </c>
      <c r="D83" s="3">
        <v>264</v>
      </c>
      <c r="E83" s="3">
        <v>345631</v>
      </c>
      <c r="F83" s="3">
        <v>9.18</v>
      </c>
      <c r="G83" s="3">
        <v>25703</v>
      </c>
    </row>
    <row r="84" spans="1:7" ht="15.75" customHeight="1">
      <c r="A84" s="4">
        <v>45635</v>
      </c>
      <c r="B84" s="1" t="s">
        <v>24</v>
      </c>
      <c r="C84" s="3">
        <v>599</v>
      </c>
      <c r="D84" s="3">
        <v>194</v>
      </c>
      <c r="E84" s="3">
        <v>105622</v>
      </c>
      <c r="F84" s="3">
        <v>6.44</v>
      </c>
      <c r="G84" s="3">
        <v>15108</v>
      </c>
    </row>
    <row r="85" spans="1:7" ht="15.75" customHeight="1">
      <c r="A85" s="4">
        <v>45635</v>
      </c>
      <c r="B85" s="1" t="s">
        <v>31</v>
      </c>
      <c r="C85" s="3">
        <v>630</v>
      </c>
      <c r="D85" s="3">
        <v>248</v>
      </c>
      <c r="E85" s="3">
        <v>119054</v>
      </c>
      <c r="F85" s="3">
        <v>5.0199999999999996</v>
      </c>
      <c r="G85" s="3">
        <v>18867</v>
      </c>
    </row>
    <row r="86" spans="1:7" ht="15.75" customHeight="1">
      <c r="A86" s="4">
        <v>45642</v>
      </c>
      <c r="B86" s="1" t="s">
        <v>14</v>
      </c>
      <c r="C86" s="3">
        <v>1350</v>
      </c>
      <c r="D86" s="3">
        <v>233</v>
      </c>
      <c r="E86" s="3">
        <v>171670</v>
      </c>
      <c r="F86" s="3">
        <v>4.53</v>
      </c>
      <c r="G86" s="3">
        <v>17574</v>
      </c>
    </row>
    <row r="87" spans="1:7" ht="15.75" customHeight="1">
      <c r="A87" s="4">
        <v>45642</v>
      </c>
      <c r="B87" s="1" t="s">
        <v>24</v>
      </c>
      <c r="C87" s="3">
        <v>632</v>
      </c>
      <c r="D87" s="3">
        <v>155</v>
      </c>
      <c r="E87" s="3">
        <v>170432</v>
      </c>
      <c r="F87" s="3">
        <v>9.17</v>
      </c>
      <c r="G87" s="3">
        <v>12840</v>
      </c>
    </row>
    <row r="88" spans="1:7" ht="15.75" customHeight="1">
      <c r="A88" s="4">
        <v>45642</v>
      </c>
      <c r="B88" s="1" t="s">
        <v>31</v>
      </c>
      <c r="C88" s="3">
        <v>1182</v>
      </c>
      <c r="D88" s="3">
        <v>83</v>
      </c>
      <c r="E88" s="3">
        <v>140300</v>
      </c>
      <c r="F88" s="3">
        <v>3.27</v>
      </c>
      <c r="G88" s="3">
        <v>21079</v>
      </c>
    </row>
    <row r="89" spans="1:7" ht="15.75" customHeight="1">
      <c r="A89" s="4">
        <v>45649</v>
      </c>
      <c r="B89" s="1" t="s">
        <v>14</v>
      </c>
      <c r="C89" s="3">
        <v>661</v>
      </c>
      <c r="D89" s="3">
        <v>94</v>
      </c>
      <c r="E89" s="3">
        <v>116538</v>
      </c>
      <c r="F89" s="3">
        <v>5.31</v>
      </c>
      <c r="G89" s="3">
        <v>23486</v>
      </c>
    </row>
    <row r="90" spans="1:7" ht="15.75" customHeight="1">
      <c r="A90" s="4">
        <v>45649</v>
      </c>
      <c r="B90" s="1" t="s">
        <v>24</v>
      </c>
      <c r="C90" s="3">
        <v>1360</v>
      </c>
      <c r="D90" s="3">
        <v>227</v>
      </c>
      <c r="E90" s="3">
        <v>176902</v>
      </c>
      <c r="F90" s="3">
        <v>6.03</v>
      </c>
      <c r="G90" s="3">
        <v>5960</v>
      </c>
    </row>
    <row r="91" spans="1:7" ht="15.75" customHeight="1">
      <c r="A91" s="4">
        <v>45649</v>
      </c>
      <c r="B91" s="1" t="s">
        <v>31</v>
      </c>
      <c r="C91" s="3">
        <v>935</v>
      </c>
      <c r="D91" s="3">
        <v>85</v>
      </c>
      <c r="E91" s="3">
        <v>326821</v>
      </c>
      <c r="F91" s="3">
        <v>8.89</v>
      </c>
      <c r="G91" s="3">
        <v>13301</v>
      </c>
    </row>
    <row r="92" spans="1:7" ht="15.75" customHeight="1">
      <c r="A92" s="4">
        <v>45656</v>
      </c>
      <c r="B92" s="1" t="s">
        <v>14</v>
      </c>
      <c r="C92" s="3">
        <v>664</v>
      </c>
      <c r="D92" s="3">
        <v>251</v>
      </c>
      <c r="E92" s="3">
        <v>240598</v>
      </c>
      <c r="F92" s="3">
        <v>4.79</v>
      </c>
      <c r="G92" s="3">
        <v>10563</v>
      </c>
    </row>
    <row r="93" spans="1:7" ht="15.75" customHeight="1">
      <c r="A93" s="4">
        <v>45656</v>
      </c>
      <c r="B93" s="1" t="s">
        <v>24</v>
      </c>
      <c r="C93" s="3">
        <v>1490</v>
      </c>
      <c r="D93" s="3">
        <v>103</v>
      </c>
      <c r="E93" s="3">
        <v>373274</v>
      </c>
      <c r="F93" s="3">
        <v>4.8</v>
      </c>
      <c r="G93" s="3">
        <v>19949</v>
      </c>
    </row>
    <row r="94" spans="1:7" ht="15.75" customHeight="1">
      <c r="A94" s="4">
        <v>45656</v>
      </c>
      <c r="B94" s="1" t="s">
        <v>31</v>
      </c>
      <c r="C94" s="3">
        <v>601</v>
      </c>
      <c r="D94" s="3">
        <v>64</v>
      </c>
      <c r="E94" s="3">
        <v>123272</v>
      </c>
      <c r="F94" s="3">
        <v>4.07</v>
      </c>
      <c r="G94" s="3">
        <v>14273</v>
      </c>
    </row>
    <row r="95" spans="1:7" ht="15.75" customHeight="1">
      <c r="A95" s="4">
        <v>45663</v>
      </c>
      <c r="B95" s="1" t="s">
        <v>14</v>
      </c>
      <c r="C95" s="3">
        <v>613</v>
      </c>
      <c r="D95" s="3">
        <v>170</v>
      </c>
      <c r="E95" s="3">
        <v>139266</v>
      </c>
      <c r="F95" s="3">
        <v>6.06</v>
      </c>
      <c r="G95" s="3">
        <v>9247</v>
      </c>
    </row>
    <row r="96" spans="1:7" ht="15.75" customHeight="1">
      <c r="A96" s="4">
        <v>45663</v>
      </c>
      <c r="B96" s="1" t="s">
        <v>24</v>
      </c>
      <c r="C96" s="3">
        <v>1340</v>
      </c>
      <c r="D96" s="3">
        <v>57</v>
      </c>
      <c r="E96" s="3">
        <v>155927</v>
      </c>
      <c r="F96" s="3">
        <v>7.79</v>
      </c>
      <c r="G96" s="3">
        <v>11972</v>
      </c>
    </row>
    <row r="97" spans="1:7" ht="15.75" customHeight="1">
      <c r="A97" s="4">
        <v>45663</v>
      </c>
      <c r="B97" s="1" t="s">
        <v>31</v>
      </c>
      <c r="C97" s="3">
        <v>953</v>
      </c>
      <c r="D97" s="3">
        <v>228</v>
      </c>
      <c r="E97" s="3">
        <v>258398</v>
      </c>
      <c r="F97" s="3">
        <v>9.0500000000000007</v>
      </c>
      <c r="G97" s="3">
        <v>13314</v>
      </c>
    </row>
    <row r="98" spans="1:7" ht="15.75" customHeight="1">
      <c r="A98" s="4">
        <v>45670</v>
      </c>
      <c r="B98" s="1" t="s">
        <v>14</v>
      </c>
      <c r="C98" s="3">
        <v>532</v>
      </c>
      <c r="D98" s="3">
        <v>65</v>
      </c>
      <c r="E98" s="3">
        <v>338561</v>
      </c>
      <c r="F98" s="3">
        <v>3.5</v>
      </c>
      <c r="G98" s="3">
        <v>14749</v>
      </c>
    </row>
    <row r="99" spans="1:7" ht="15.75" customHeight="1">
      <c r="A99" s="4">
        <v>45670</v>
      </c>
      <c r="B99" s="1" t="s">
        <v>24</v>
      </c>
      <c r="C99" s="3">
        <v>1414</v>
      </c>
      <c r="D99" s="3">
        <v>60</v>
      </c>
      <c r="E99" s="3">
        <v>341856</v>
      </c>
      <c r="F99" s="3">
        <v>8.76</v>
      </c>
      <c r="G99" s="3">
        <v>6868</v>
      </c>
    </row>
    <row r="100" spans="1:7" ht="15.75" customHeight="1">
      <c r="A100" s="4">
        <v>45670</v>
      </c>
      <c r="B100" s="1" t="s">
        <v>31</v>
      </c>
      <c r="C100" s="3">
        <v>685</v>
      </c>
      <c r="D100" s="3">
        <v>165</v>
      </c>
      <c r="E100" s="3">
        <v>175860</v>
      </c>
      <c r="F100" s="3">
        <v>6.26</v>
      </c>
      <c r="G100" s="3">
        <v>6027</v>
      </c>
    </row>
    <row r="101" spans="1:7" ht="15.75" customHeight="1">
      <c r="A101" s="4">
        <v>45677</v>
      </c>
      <c r="B101" s="1" t="s">
        <v>14</v>
      </c>
      <c r="C101" s="3">
        <v>601</v>
      </c>
      <c r="D101" s="3">
        <v>159</v>
      </c>
      <c r="E101" s="3">
        <v>327722</v>
      </c>
      <c r="F101" s="3">
        <v>3.33</v>
      </c>
      <c r="G101" s="3">
        <v>25267</v>
      </c>
    </row>
    <row r="102" spans="1:7" ht="15.75" customHeight="1">
      <c r="A102" s="4">
        <v>45677</v>
      </c>
      <c r="B102" s="1" t="s">
        <v>24</v>
      </c>
      <c r="C102" s="3">
        <v>841</v>
      </c>
      <c r="D102" s="3">
        <v>295</v>
      </c>
      <c r="E102" s="3">
        <v>271638</v>
      </c>
      <c r="F102" s="3">
        <v>9.15</v>
      </c>
      <c r="G102" s="3">
        <v>5900</v>
      </c>
    </row>
    <row r="103" spans="1:7" ht="15.75" customHeight="1">
      <c r="A103" s="4">
        <v>45677</v>
      </c>
      <c r="B103" s="1" t="s">
        <v>31</v>
      </c>
      <c r="C103" s="3">
        <v>1105</v>
      </c>
      <c r="D103" s="3">
        <v>261</v>
      </c>
      <c r="E103" s="3">
        <v>333851</v>
      </c>
      <c r="F103" s="3">
        <v>6.03</v>
      </c>
      <c r="G103" s="3">
        <v>11181</v>
      </c>
    </row>
    <row r="104" spans="1:7" ht="15.75" customHeight="1">
      <c r="A104" s="4">
        <v>45684</v>
      </c>
      <c r="B104" s="1" t="s">
        <v>14</v>
      </c>
      <c r="C104" s="3">
        <v>566</v>
      </c>
      <c r="D104" s="3">
        <v>225</v>
      </c>
      <c r="E104" s="3">
        <v>368984</v>
      </c>
      <c r="F104" s="3">
        <v>9.82</v>
      </c>
      <c r="G104" s="3">
        <v>9592</v>
      </c>
    </row>
    <row r="105" spans="1:7" ht="15.75" customHeight="1">
      <c r="A105" s="4">
        <v>45684</v>
      </c>
      <c r="B105" s="1" t="s">
        <v>24</v>
      </c>
      <c r="C105" s="3">
        <v>1149</v>
      </c>
      <c r="D105" s="3">
        <v>280</v>
      </c>
      <c r="E105" s="3">
        <v>167310</v>
      </c>
      <c r="F105" s="3">
        <v>3.7</v>
      </c>
      <c r="G105" s="3">
        <v>5291</v>
      </c>
    </row>
    <row r="106" spans="1:7" ht="15.75" customHeight="1">
      <c r="A106" s="4">
        <v>45684</v>
      </c>
      <c r="B106" s="1" t="s">
        <v>31</v>
      </c>
      <c r="C106" s="3">
        <v>819</v>
      </c>
      <c r="D106" s="3">
        <v>101</v>
      </c>
      <c r="E106" s="3">
        <v>194811</v>
      </c>
      <c r="F106" s="3">
        <v>3.35</v>
      </c>
      <c r="G106" s="3">
        <v>22244</v>
      </c>
    </row>
    <row r="107" spans="1:7" ht="15.75" customHeight="1">
      <c r="A107" s="4">
        <v>45691</v>
      </c>
      <c r="B107" s="1" t="s">
        <v>14</v>
      </c>
      <c r="C107" s="3">
        <v>795</v>
      </c>
      <c r="D107" s="3">
        <v>60</v>
      </c>
      <c r="E107" s="3">
        <v>314982</v>
      </c>
      <c r="F107" s="3">
        <v>7.31</v>
      </c>
      <c r="G107" s="3">
        <v>6824</v>
      </c>
    </row>
    <row r="108" spans="1:7" ht="15.75" customHeight="1">
      <c r="A108" s="4">
        <v>45691</v>
      </c>
      <c r="B108" s="1" t="s">
        <v>24</v>
      </c>
      <c r="C108" s="3">
        <v>681</v>
      </c>
      <c r="D108" s="3">
        <v>158</v>
      </c>
      <c r="E108" s="3">
        <v>75960</v>
      </c>
      <c r="F108" s="3">
        <v>3.13</v>
      </c>
      <c r="G108" s="3">
        <v>24112</v>
      </c>
    </row>
    <row r="109" spans="1:7" ht="15.75" customHeight="1">
      <c r="A109" s="4">
        <v>45691</v>
      </c>
      <c r="B109" s="1" t="s">
        <v>31</v>
      </c>
      <c r="C109" s="3">
        <v>534</v>
      </c>
      <c r="D109" s="3">
        <v>112</v>
      </c>
      <c r="E109" s="3">
        <v>360759</v>
      </c>
      <c r="F109" s="3">
        <v>4.8899999999999997</v>
      </c>
      <c r="G109" s="3">
        <v>25478</v>
      </c>
    </row>
    <row r="110" spans="1:7" ht="15.75" customHeight="1">
      <c r="A110" s="4">
        <v>45698</v>
      </c>
      <c r="B110" s="1" t="s">
        <v>14</v>
      </c>
      <c r="C110" s="3">
        <v>1066</v>
      </c>
      <c r="D110" s="3">
        <v>151</v>
      </c>
      <c r="E110" s="3">
        <v>297090</v>
      </c>
      <c r="F110" s="3">
        <v>8.6300000000000008</v>
      </c>
      <c r="G110" s="3">
        <v>11235</v>
      </c>
    </row>
    <row r="111" spans="1:7" ht="15.75" customHeight="1">
      <c r="A111" s="4">
        <v>45698</v>
      </c>
      <c r="B111" s="1" t="s">
        <v>24</v>
      </c>
      <c r="C111" s="3">
        <v>1270</v>
      </c>
      <c r="D111" s="3">
        <v>162</v>
      </c>
      <c r="E111" s="3">
        <v>92040</v>
      </c>
      <c r="F111" s="3">
        <v>8.0299999999999994</v>
      </c>
      <c r="G111" s="3">
        <v>6120</v>
      </c>
    </row>
    <row r="112" spans="1:7" ht="15.75" customHeight="1">
      <c r="A112" s="4">
        <v>45698</v>
      </c>
      <c r="B112" s="1" t="s">
        <v>31</v>
      </c>
      <c r="C112" s="3">
        <v>536</v>
      </c>
      <c r="D112" s="3">
        <v>198</v>
      </c>
      <c r="E112" s="3">
        <v>174610</v>
      </c>
      <c r="F112" s="3">
        <v>7.85</v>
      </c>
      <c r="G112" s="3">
        <v>20572</v>
      </c>
    </row>
    <row r="113" spans="1:7" ht="15.75" customHeight="1">
      <c r="A113" s="4">
        <v>45705</v>
      </c>
      <c r="B113" s="1" t="s">
        <v>14</v>
      </c>
      <c r="C113" s="3">
        <v>819</v>
      </c>
      <c r="D113" s="3">
        <v>95</v>
      </c>
      <c r="E113" s="3">
        <v>177376</v>
      </c>
      <c r="F113" s="3">
        <v>6.12</v>
      </c>
      <c r="G113" s="3">
        <v>14975</v>
      </c>
    </row>
    <row r="114" spans="1:7" ht="15.75" customHeight="1">
      <c r="A114" s="4">
        <v>45705</v>
      </c>
      <c r="B114" s="1" t="s">
        <v>24</v>
      </c>
      <c r="C114" s="3">
        <v>681</v>
      </c>
      <c r="D114" s="3">
        <v>218</v>
      </c>
      <c r="E114" s="3">
        <v>198882</v>
      </c>
      <c r="F114" s="3">
        <v>7.16</v>
      </c>
      <c r="G114" s="3">
        <v>22234</v>
      </c>
    </row>
    <row r="115" spans="1:7" ht="15.75" customHeight="1">
      <c r="A115" s="4">
        <v>45705</v>
      </c>
      <c r="B115" s="1" t="s">
        <v>31</v>
      </c>
      <c r="C115" s="3">
        <v>646</v>
      </c>
      <c r="D115" s="3">
        <v>290</v>
      </c>
      <c r="E115" s="3">
        <v>336383</v>
      </c>
      <c r="F115" s="3">
        <v>7.04</v>
      </c>
      <c r="G115" s="3">
        <v>6532</v>
      </c>
    </row>
    <row r="116" spans="1:7" ht="15.75" customHeight="1">
      <c r="A116" s="4">
        <v>45712</v>
      </c>
      <c r="B116" s="1" t="s">
        <v>14</v>
      </c>
      <c r="C116" s="3">
        <v>645</v>
      </c>
      <c r="D116" s="3">
        <v>267</v>
      </c>
      <c r="E116" s="3">
        <v>346890</v>
      </c>
      <c r="F116" s="3">
        <v>3.71</v>
      </c>
      <c r="G116" s="3">
        <v>24858</v>
      </c>
    </row>
    <row r="117" spans="1:7" ht="15.75" customHeight="1">
      <c r="A117" s="4">
        <v>45712</v>
      </c>
      <c r="B117" s="1" t="s">
        <v>24</v>
      </c>
      <c r="C117" s="3">
        <v>886</v>
      </c>
      <c r="D117" s="3">
        <v>250</v>
      </c>
      <c r="E117" s="3">
        <v>168170</v>
      </c>
      <c r="F117" s="3">
        <v>4.12</v>
      </c>
      <c r="G117" s="3">
        <v>13883</v>
      </c>
    </row>
    <row r="118" spans="1:7" ht="15.75" customHeight="1">
      <c r="A118" s="4">
        <v>45712</v>
      </c>
      <c r="B118" s="1" t="s">
        <v>31</v>
      </c>
      <c r="C118" s="3">
        <v>978</v>
      </c>
      <c r="D118" s="3">
        <v>279</v>
      </c>
      <c r="E118" s="3">
        <v>368872</v>
      </c>
      <c r="F118" s="3">
        <v>6.82</v>
      </c>
      <c r="G118" s="3">
        <v>18654</v>
      </c>
    </row>
    <row r="119" spans="1:7" ht="15.75" customHeight="1">
      <c r="A119" s="4">
        <v>45719</v>
      </c>
      <c r="B119" s="1" t="s">
        <v>14</v>
      </c>
      <c r="C119" s="3">
        <v>1444</v>
      </c>
      <c r="D119" s="3">
        <v>165</v>
      </c>
      <c r="E119" s="3">
        <v>116436</v>
      </c>
      <c r="F119" s="3">
        <v>8.2200000000000006</v>
      </c>
      <c r="G119" s="3">
        <v>25234</v>
      </c>
    </row>
    <row r="120" spans="1:7" ht="15.75" customHeight="1">
      <c r="A120" s="4">
        <v>45719</v>
      </c>
      <c r="B120" s="1" t="s">
        <v>24</v>
      </c>
      <c r="C120" s="3">
        <v>1234</v>
      </c>
      <c r="D120" s="3">
        <v>228</v>
      </c>
      <c r="E120" s="3">
        <v>127502</v>
      </c>
      <c r="F120" s="3">
        <v>7.71</v>
      </c>
      <c r="G120" s="3">
        <v>6772</v>
      </c>
    </row>
    <row r="121" spans="1:7" ht="15.75" customHeight="1">
      <c r="A121" s="4">
        <v>45719</v>
      </c>
      <c r="B121" s="1" t="s">
        <v>31</v>
      </c>
      <c r="C121" s="3">
        <v>665</v>
      </c>
      <c r="D121" s="3">
        <v>187</v>
      </c>
      <c r="E121" s="3">
        <v>274567</v>
      </c>
      <c r="F121" s="3">
        <v>7.39</v>
      </c>
      <c r="G121" s="3">
        <v>22428</v>
      </c>
    </row>
    <row r="122" spans="1:7" ht="15.75" customHeight="1">
      <c r="A122" s="4">
        <v>45726</v>
      </c>
      <c r="B122" s="1" t="s">
        <v>14</v>
      </c>
      <c r="C122" s="3">
        <v>631</v>
      </c>
      <c r="D122" s="3">
        <v>86</v>
      </c>
      <c r="E122" s="3">
        <v>295090</v>
      </c>
      <c r="F122" s="3">
        <v>7.89</v>
      </c>
      <c r="G122" s="3">
        <v>11911</v>
      </c>
    </row>
    <row r="123" spans="1:7" ht="15.75" customHeight="1">
      <c r="A123" s="4">
        <v>45726</v>
      </c>
      <c r="B123" s="1" t="s">
        <v>24</v>
      </c>
      <c r="C123" s="3">
        <v>1159</v>
      </c>
      <c r="D123" s="3">
        <v>154</v>
      </c>
      <c r="E123" s="3">
        <v>194994</v>
      </c>
      <c r="F123" s="3">
        <v>6.39</v>
      </c>
      <c r="G123" s="3">
        <v>21900</v>
      </c>
    </row>
    <row r="124" spans="1:7" ht="15.75" customHeight="1">
      <c r="A124" s="4">
        <v>45726</v>
      </c>
      <c r="B124" s="1" t="s">
        <v>31</v>
      </c>
      <c r="C124" s="3">
        <v>950</v>
      </c>
      <c r="D124" s="3">
        <v>185</v>
      </c>
      <c r="E124" s="3">
        <v>340750</v>
      </c>
      <c r="F124" s="3">
        <v>6.77</v>
      </c>
      <c r="G124" s="3">
        <v>25542</v>
      </c>
    </row>
    <row r="125" spans="1:7" ht="15.75" customHeight="1">
      <c r="A125" s="4">
        <v>45733</v>
      </c>
      <c r="B125" s="1" t="s">
        <v>14</v>
      </c>
      <c r="C125" s="3">
        <v>693</v>
      </c>
      <c r="D125" s="3">
        <v>129</v>
      </c>
      <c r="E125" s="3">
        <v>296031</v>
      </c>
      <c r="F125" s="3">
        <v>3.41</v>
      </c>
      <c r="G125" s="3">
        <v>7140</v>
      </c>
    </row>
    <row r="126" spans="1:7" ht="15.75" customHeight="1">
      <c r="A126" s="4">
        <v>45733</v>
      </c>
      <c r="B126" s="1" t="s">
        <v>24</v>
      </c>
      <c r="C126" s="3">
        <v>576</v>
      </c>
      <c r="D126" s="3">
        <v>80</v>
      </c>
      <c r="E126" s="3">
        <v>345688</v>
      </c>
      <c r="F126" s="3">
        <v>4.1100000000000003</v>
      </c>
      <c r="G126" s="3">
        <v>20474</v>
      </c>
    </row>
    <row r="127" spans="1:7" ht="15.75" customHeight="1">
      <c r="A127" s="4">
        <v>45733</v>
      </c>
      <c r="B127" s="1" t="s">
        <v>31</v>
      </c>
      <c r="C127" s="3">
        <v>1274</v>
      </c>
      <c r="D127" s="3">
        <v>146</v>
      </c>
      <c r="E127" s="3">
        <v>263488</v>
      </c>
      <c r="F127" s="3">
        <v>9.58</v>
      </c>
      <c r="G127" s="3">
        <v>8698</v>
      </c>
    </row>
    <row r="128" spans="1:7" ht="15.75" customHeight="1">
      <c r="A128" s="4">
        <v>45740</v>
      </c>
      <c r="B128" s="1" t="s">
        <v>14</v>
      </c>
      <c r="C128" s="3">
        <v>818</v>
      </c>
      <c r="D128" s="3">
        <v>253</v>
      </c>
      <c r="E128" s="3">
        <v>184911</v>
      </c>
      <c r="F128" s="3">
        <v>3.39</v>
      </c>
      <c r="G128" s="3">
        <v>10402</v>
      </c>
    </row>
    <row r="129" spans="1:7" ht="15.75" customHeight="1">
      <c r="A129" s="4">
        <v>45740</v>
      </c>
      <c r="B129" s="1" t="s">
        <v>24</v>
      </c>
      <c r="C129" s="3">
        <v>975</v>
      </c>
      <c r="D129" s="3">
        <v>162</v>
      </c>
      <c r="E129" s="3">
        <v>124497</v>
      </c>
      <c r="F129" s="3">
        <v>9.58</v>
      </c>
      <c r="G129" s="3">
        <v>26618</v>
      </c>
    </row>
    <row r="130" spans="1:7" ht="15.75" customHeight="1">
      <c r="A130" s="4">
        <v>45740</v>
      </c>
      <c r="B130" s="1" t="s">
        <v>31</v>
      </c>
      <c r="C130" s="3">
        <v>1398</v>
      </c>
      <c r="D130" s="3">
        <v>97</v>
      </c>
      <c r="E130" s="3">
        <v>397607</v>
      </c>
      <c r="F130" s="3">
        <v>5.09</v>
      </c>
      <c r="G130" s="3">
        <v>7975</v>
      </c>
    </row>
    <row r="131" spans="1:7" ht="15.75" customHeight="1">
      <c r="A131" s="4">
        <v>45747</v>
      </c>
      <c r="B131" s="1" t="s">
        <v>14</v>
      </c>
      <c r="C131" s="3">
        <v>591</v>
      </c>
      <c r="D131" s="3">
        <v>155</v>
      </c>
      <c r="E131" s="3">
        <v>138521</v>
      </c>
      <c r="F131" s="3">
        <v>7.85</v>
      </c>
      <c r="G131" s="3">
        <v>19054</v>
      </c>
    </row>
    <row r="132" spans="1:7" ht="15.75" customHeight="1">
      <c r="A132" s="4">
        <v>45747</v>
      </c>
      <c r="B132" s="1" t="s">
        <v>24</v>
      </c>
      <c r="C132" s="3">
        <v>1232</v>
      </c>
      <c r="D132" s="3">
        <v>254</v>
      </c>
      <c r="E132" s="3">
        <v>107718</v>
      </c>
      <c r="F132" s="3">
        <v>9.7100000000000009</v>
      </c>
      <c r="G132" s="3">
        <v>13740</v>
      </c>
    </row>
    <row r="133" spans="1:7" ht="15.75" customHeight="1">
      <c r="A133" s="4">
        <v>45747</v>
      </c>
      <c r="B133" s="1" t="s">
        <v>31</v>
      </c>
      <c r="C133" s="3">
        <v>1425</v>
      </c>
      <c r="D133" s="3">
        <v>58</v>
      </c>
      <c r="E133" s="3">
        <v>202234</v>
      </c>
      <c r="F133" s="3">
        <v>6.67</v>
      </c>
      <c r="G133" s="3">
        <v>18442</v>
      </c>
    </row>
    <row r="134" spans="1:7" ht="15.75" customHeight="1">
      <c r="A134" s="4">
        <v>45754</v>
      </c>
      <c r="B134" s="1" t="s">
        <v>14</v>
      </c>
      <c r="C134" s="3">
        <v>1417</v>
      </c>
      <c r="D134" s="3">
        <v>80</v>
      </c>
      <c r="E134" s="3">
        <v>340987</v>
      </c>
      <c r="F134" s="3">
        <v>6.13</v>
      </c>
      <c r="G134" s="3">
        <v>10104</v>
      </c>
    </row>
    <row r="135" spans="1:7" ht="15.75" customHeight="1">
      <c r="A135" s="4">
        <v>45754</v>
      </c>
      <c r="B135" s="1" t="s">
        <v>24</v>
      </c>
      <c r="C135" s="3">
        <v>1222</v>
      </c>
      <c r="D135" s="3">
        <v>208</v>
      </c>
      <c r="E135" s="3">
        <v>340098</v>
      </c>
      <c r="F135" s="3">
        <v>7.34</v>
      </c>
      <c r="G135" s="3">
        <v>21771</v>
      </c>
    </row>
    <row r="136" spans="1:7" ht="15.75" customHeight="1">
      <c r="A136" s="4">
        <v>45754</v>
      </c>
      <c r="B136" s="1" t="s">
        <v>31</v>
      </c>
      <c r="C136" s="3">
        <v>1071</v>
      </c>
      <c r="D136" s="3">
        <v>131</v>
      </c>
      <c r="E136" s="3">
        <v>254727</v>
      </c>
      <c r="F136" s="3">
        <v>6.87</v>
      </c>
      <c r="G136" s="3">
        <v>22191</v>
      </c>
    </row>
    <row r="137" spans="1:7" ht="15.75" customHeight="1">
      <c r="A137" s="4">
        <v>45761</v>
      </c>
      <c r="B137" s="1" t="s">
        <v>14</v>
      </c>
      <c r="C137" s="3">
        <v>772</v>
      </c>
      <c r="D137" s="3">
        <v>82</v>
      </c>
      <c r="E137" s="3">
        <v>345659</v>
      </c>
      <c r="F137" s="3">
        <v>3.52</v>
      </c>
      <c r="G137" s="3">
        <v>27753</v>
      </c>
    </row>
    <row r="138" spans="1:7" ht="15.75" customHeight="1">
      <c r="A138" s="4">
        <v>45761</v>
      </c>
      <c r="B138" s="1" t="s">
        <v>24</v>
      </c>
      <c r="C138" s="3">
        <v>1472</v>
      </c>
      <c r="D138" s="3">
        <v>137</v>
      </c>
      <c r="E138" s="3">
        <v>213950</v>
      </c>
      <c r="F138" s="3">
        <v>6.96</v>
      </c>
      <c r="G138" s="3">
        <v>23736</v>
      </c>
    </row>
    <row r="139" spans="1:7" ht="15.75" customHeight="1">
      <c r="A139" s="4">
        <v>45761</v>
      </c>
      <c r="B139" s="1" t="s">
        <v>31</v>
      </c>
      <c r="C139" s="3">
        <v>1472</v>
      </c>
      <c r="D139" s="3">
        <v>281</v>
      </c>
      <c r="E139" s="3">
        <v>258115</v>
      </c>
      <c r="F139" s="3">
        <v>7.23</v>
      </c>
      <c r="G139" s="3">
        <v>27393</v>
      </c>
    </row>
    <row r="140" spans="1:7" ht="15.75" customHeight="1">
      <c r="A140" s="4">
        <v>45768</v>
      </c>
      <c r="B140" s="1" t="s">
        <v>14</v>
      </c>
      <c r="C140" s="3">
        <v>585</v>
      </c>
      <c r="D140" s="3">
        <v>232</v>
      </c>
      <c r="E140" s="3">
        <v>321258</v>
      </c>
      <c r="F140" s="3">
        <v>7.42</v>
      </c>
      <c r="G140" s="3">
        <v>10343</v>
      </c>
    </row>
    <row r="141" spans="1:7" ht="15.75" customHeight="1">
      <c r="A141" s="4">
        <v>45768</v>
      </c>
      <c r="B141" s="1" t="s">
        <v>24</v>
      </c>
      <c r="C141" s="3">
        <v>747</v>
      </c>
      <c r="D141" s="3">
        <v>261</v>
      </c>
      <c r="E141" s="3">
        <v>338650</v>
      </c>
      <c r="F141" s="3">
        <v>7.73</v>
      </c>
      <c r="G141" s="3">
        <v>25259</v>
      </c>
    </row>
    <row r="142" spans="1:7" ht="15.75" customHeight="1">
      <c r="A142" s="4">
        <v>45768</v>
      </c>
      <c r="B142" s="1" t="s">
        <v>31</v>
      </c>
      <c r="C142" s="3">
        <v>1113</v>
      </c>
      <c r="D142" s="3">
        <v>224</v>
      </c>
      <c r="E142" s="3">
        <v>272989</v>
      </c>
      <c r="F142" s="3">
        <v>5.13</v>
      </c>
      <c r="G142" s="3">
        <v>24827</v>
      </c>
    </row>
    <row r="143" spans="1:7" ht="15.75" customHeight="1">
      <c r="A143" s="4">
        <v>45775</v>
      </c>
      <c r="B143" s="1" t="s">
        <v>14</v>
      </c>
      <c r="C143" s="3">
        <v>1100</v>
      </c>
      <c r="D143" s="3">
        <v>117</v>
      </c>
      <c r="E143" s="3">
        <v>260204</v>
      </c>
      <c r="F143" s="3">
        <v>4.4000000000000004</v>
      </c>
      <c r="G143" s="3">
        <v>11908</v>
      </c>
    </row>
    <row r="144" spans="1:7" ht="15.75" customHeight="1">
      <c r="A144" s="4">
        <v>45775</v>
      </c>
      <c r="B144" s="1" t="s">
        <v>24</v>
      </c>
      <c r="C144" s="3">
        <v>751</v>
      </c>
      <c r="D144" s="3">
        <v>170</v>
      </c>
      <c r="E144" s="3">
        <v>283278</v>
      </c>
      <c r="F144" s="3">
        <v>3.49</v>
      </c>
      <c r="G144" s="3">
        <v>11005</v>
      </c>
    </row>
    <row r="145" spans="1:7" ht="15.75" customHeight="1">
      <c r="A145" s="4">
        <v>45775</v>
      </c>
      <c r="B145" s="1" t="s">
        <v>31</v>
      </c>
      <c r="C145" s="3">
        <v>864</v>
      </c>
      <c r="D145" s="3">
        <v>50</v>
      </c>
      <c r="E145" s="3">
        <v>277445</v>
      </c>
      <c r="F145" s="3">
        <v>3.57</v>
      </c>
      <c r="G145" s="3">
        <v>26333</v>
      </c>
    </row>
    <row r="146" spans="1:7" ht="15.75" customHeight="1">
      <c r="A146" s="4">
        <v>45782</v>
      </c>
      <c r="B146" s="1" t="s">
        <v>14</v>
      </c>
      <c r="C146" s="3">
        <v>1146</v>
      </c>
      <c r="D146" s="3">
        <v>227</v>
      </c>
      <c r="E146" s="3">
        <v>353781</v>
      </c>
      <c r="F146" s="3">
        <v>6.41</v>
      </c>
      <c r="G146" s="3">
        <v>5495</v>
      </c>
    </row>
    <row r="147" spans="1:7" ht="15.75" customHeight="1">
      <c r="A147" s="4">
        <v>45782</v>
      </c>
      <c r="B147" s="1" t="s">
        <v>24</v>
      </c>
      <c r="C147" s="3">
        <v>883</v>
      </c>
      <c r="D147" s="3">
        <v>207</v>
      </c>
      <c r="E147" s="3">
        <v>265019</v>
      </c>
      <c r="F147" s="3">
        <v>6.04</v>
      </c>
      <c r="G147" s="3">
        <v>15655</v>
      </c>
    </row>
    <row r="148" spans="1:7" ht="15.75" customHeight="1">
      <c r="A148" s="4">
        <v>45782</v>
      </c>
      <c r="B148" s="1" t="s">
        <v>31</v>
      </c>
      <c r="C148" s="3">
        <v>622</v>
      </c>
      <c r="D148" s="3">
        <v>163</v>
      </c>
      <c r="E148" s="3">
        <v>231925</v>
      </c>
      <c r="F148" s="3">
        <v>9.18</v>
      </c>
      <c r="G148" s="3">
        <v>13763</v>
      </c>
    </row>
    <row r="149" spans="1:7" ht="15.75" customHeight="1">
      <c r="A149" s="4">
        <v>45789</v>
      </c>
      <c r="B149" s="1" t="s">
        <v>14</v>
      </c>
      <c r="C149" s="3">
        <v>837</v>
      </c>
      <c r="D149" s="3">
        <v>261</v>
      </c>
      <c r="E149" s="3">
        <v>366149</v>
      </c>
      <c r="F149" s="3">
        <v>6.54</v>
      </c>
      <c r="G149" s="3">
        <v>26073</v>
      </c>
    </row>
    <row r="150" spans="1:7" ht="15.75" customHeight="1">
      <c r="A150" s="4">
        <v>45789</v>
      </c>
      <c r="B150" s="1" t="s">
        <v>24</v>
      </c>
      <c r="C150" s="3">
        <v>544</v>
      </c>
      <c r="D150" s="3">
        <v>97</v>
      </c>
      <c r="E150" s="3">
        <v>168375</v>
      </c>
      <c r="F150" s="3">
        <v>8.66</v>
      </c>
      <c r="G150" s="3">
        <v>12774</v>
      </c>
    </row>
    <row r="151" spans="1:7" ht="15.75" customHeight="1">
      <c r="A151" s="4">
        <v>45789</v>
      </c>
      <c r="B151" s="1" t="s">
        <v>31</v>
      </c>
      <c r="C151" s="3">
        <v>624</v>
      </c>
      <c r="D151" s="3">
        <v>247</v>
      </c>
      <c r="E151" s="3">
        <v>252763</v>
      </c>
      <c r="F151" s="3">
        <v>3.89</v>
      </c>
      <c r="G151" s="3">
        <v>19000</v>
      </c>
    </row>
    <row r="152" spans="1:7" ht="15.75" customHeight="1">
      <c r="A152" s="4">
        <v>45796</v>
      </c>
      <c r="B152" s="1" t="s">
        <v>14</v>
      </c>
      <c r="C152" s="3">
        <v>1073</v>
      </c>
      <c r="D152" s="3">
        <v>141</v>
      </c>
      <c r="E152" s="3">
        <v>118393</v>
      </c>
      <c r="F152" s="3">
        <v>7.95</v>
      </c>
      <c r="G152" s="3">
        <v>14051</v>
      </c>
    </row>
    <row r="153" spans="1:7" ht="15.75" customHeight="1">
      <c r="A153" s="4">
        <v>45796</v>
      </c>
      <c r="B153" s="1" t="s">
        <v>24</v>
      </c>
      <c r="C153" s="3">
        <v>1430</v>
      </c>
      <c r="D153" s="3">
        <v>74</v>
      </c>
      <c r="E153" s="3">
        <v>327012</v>
      </c>
      <c r="F153" s="3">
        <v>6.66</v>
      </c>
      <c r="G153" s="3">
        <v>27782</v>
      </c>
    </row>
    <row r="154" spans="1:7" ht="15.75" customHeight="1">
      <c r="A154" s="4">
        <v>45796</v>
      </c>
      <c r="B154" s="1" t="s">
        <v>31</v>
      </c>
      <c r="C154" s="3">
        <v>1358</v>
      </c>
      <c r="D154" s="3">
        <v>77</v>
      </c>
      <c r="E154" s="3">
        <v>169688</v>
      </c>
      <c r="F154" s="3">
        <v>5.25</v>
      </c>
      <c r="G154" s="3">
        <v>7859</v>
      </c>
    </row>
    <row r="155" spans="1:7" ht="15.75" customHeight="1">
      <c r="A155" s="4">
        <v>45803</v>
      </c>
      <c r="B155" s="1" t="s">
        <v>14</v>
      </c>
      <c r="C155" s="3">
        <v>1242</v>
      </c>
      <c r="D155" s="3">
        <v>201</v>
      </c>
      <c r="E155" s="3">
        <v>271935</v>
      </c>
      <c r="F155" s="3">
        <v>5.07</v>
      </c>
      <c r="G155" s="3">
        <v>15773</v>
      </c>
    </row>
    <row r="156" spans="1:7" ht="15.75" customHeight="1">
      <c r="A156" s="4">
        <v>45803</v>
      </c>
      <c r="B156" s="1" t="s">
        <v>24</v>
      </c>
      <c r="C156" s="3">
        <v>1389</v>
      </c>
      <c r="D156" s="3">
        <v>205</v>
      </c>
      <c r="E156" s="3">
        <v>315981</v>
      </c>
      <c r="F156" s="3">
        <v>7.62</v>
      </c>
      <c r="G156" s="3">
        <v>20595</v>
      </c>
    </row>
    <row r="157" spans="1:7" ht="15.75" customHeight="1">
      <c r="A157" s="4">
        <v>45803</v>
      </c>
      <c r="B157" s="1" t="s">
        <v>31</v>
      </c>
      <c r="C157" s="3">
        <v>826</v>
      </c>
      <c r="D157" s="3">
        <v>142</v>
      </c>
      <c r="E157" s="3">
        <v>341016</v>
      </c>
      <c r="F157" s="3">
        <v>7.44</v>
      </c>
      <c r="G157" s="3">
        <v>12031</v>
      </c>
    </row>
    <row r="158" spans="1:7" ht="15.75" customHeight="1">
      <c r="A158" s="4">
        <v>45810</v>
      </c>
      <c r="B158" s="1" t="s">
        <v>14</v>
      </c>
      <c r="C158" s="3">
        <v>618</v>
      </c>
      <c r="D158" s="3">
        <v>264</v>
      </c>
      <c r="E158" s="3">
        <v>285164</v>
      </c>
      <c r="F158" s="3">
        <v>4.8600000000000003</v>
      </c>
      <c r="G158" s="3">
        <v>15128</v>
      </c>
    </row>
    <row r="159" spans="1:7" ht="15.75" customHeight="1">
      <c r="A159" s="4">
        <v>45810</v>
      </c>
      <c r="B159" s="1" t="s">
        <v>24</v>
      </c>
      <c r="C159" s="3">
        <v>1419</v>
      </c>
      <c r="D159" s="3">
        <v>293</v>
      </c>
      <c r="E159" s="3">
        <v>116632</v>
      </c>
      <c r="F159" s="3">
        <v>6.93</v>
      </c>
      <c r="G159" s="3">
        <v>11826</v>
      </c>
    </row>
    <row r="160" spans="1:7" ht="15.75" customHeight="1">
      <c r="A160" s="4">
        <v>45810</v>
      </c>
      <c r="B160" s="1" t="s">
        <v>31</v>
      </c>
      <c r="C160" s="3">
        <v>637</v>
      </c>
      <c r="D160" s="3">
        <v>68</v>
      </c>
      <c r="E160" s="3">
        <v>115694</v>
      </c>
      <c r="F160" s="3">
        <v>9.99</v>
      </c>
      <c r="G160" s="3">
        <v>12562</v>
      </c>
    </row>
    <row r="161" spans="1:7" ht="15.75" customHeight="1">
      <c r="A161" s="4">
        <v>45817</v>
      </c>
      <c r="B161" s="1" t="s">
        <v>14</v>
      </c>
      <c r="C161" s="3">
        <v>917</v>
      </c>
      <c r="D161" s="3">
        <v>187</v>
      </c>
      <c r="E161" s="3">
        <v>64444</v>
      </c>
      <c r="F161" s="3">
        <v>5.22</v>
      </c>
      <c r="G161" s="3">
        <v>13013</v>
      </c>
    </row>
    <row r="162" spans="1:7" ht="15.75" customHeight="1">
      <c r="A162" s="4">
        <v>45817</v>
      </c>
      <c r="B162" s="1" t="s">
        <v>24</v>
      </c>
      <c r="C162" s="3">
        <v>810</v>
      </c>
      <c r="D162" s="3">
        <v>232</v>
      </c>
      <c r="E162" s="3">
        <v>362559</v>
      </c>
      <c r="F162" s="3">
        <v>5.17</v>
      </c>
      <c r="G162" s="3">
        <v>12937</v>
      </c>
    </row>
    <row r="163" spans="1:7" ht="15.75" customHeight="1">
      <c r="A163" s="4">
        <v>45817</v>
      </c>
      <c r="B163" s="1" t="s">
        <v>31</v>
      </c>
      <c r="C163" s="3">
        <v>1183</v>
      </c>
      <c r="D163" s="3">
        <v>248</v>
      </c>
      <c r="E163" s="3">
        <v>226881</v>
      </c>
      <c r="F163" s="3">
        <v>5.17</v>
      </c>
      <c r="G163" s="3">
        <v>14534</v>
      </c>
    </row>
    <row r="164" spans="1:7" ht="15.75" customHeight="1">
      <c r="A164" s="4">
        <v>45824</v>
      </c>
      <c r="B164" s="1" t="s">
        <v>14</v>
      </c>
      <c r="C164" s="3">
        <v>765</v>
      </c>
      <c r="D164" s="3">
        <v>67</v>
      </c>
      <c r="E164" s="3">
        <v>283537</v>
      </c>
      <c r="F164" s="3">
        <v>6.18</v>
      </c>
      <c r="G164" s="3">
        <v>8182</v>
      </c>
    </row>
    <row r="165" spans="1:7" ht="15.75" customHeight="1">
      <c r="A165" s="4">
        <v>45824</v>
      </c>
      <c r="B165" s="1" t="s">
        <v>24</v>
      </c>
      <c r="C165" s="3">
        <v>540</v>
      </c>
      <c r="D165" s="3">
        <v>215</v>
      </c>
      <c r="E165" s="3">
        <v>62837</v>
      </c>
      <c r="F165" s="3">
        <v>5.3</v>
      </c>
      <c r="G165" s="3">
        <v>10615</v>
      </c>
    </row>
    <row r="166" spans="1:7" ht="15.75" customHeight="1">
      <c r="A166" s="4">
        <v>45824</v>
      </c>
      <c r="B166" s="1" t="s">
        <v>31</v>
      </c>
      <c r="C166" s="3">
        <v>1145</v>
      </c>
      <c r="D166" s="3">
        <v>151</v>
      </c>
      <c r="E166" s="3">
        <v>182759</v>
      </c>
      <c r="F166" s="3">
        <v>5.99</v>
      </c>
      <c r="G166" s="3">
        <v>20109</v>
      </c>
    </row>
    <row r="167" spans="1:7" ht="15.75" customHeight="1">
      <c r="A167" s="4">
        <v>45831</v>
      </c>
      <c r="B167" s="1" t="s">
        <v>14</v>
      </c>
      <c r="C167" s="3">
        <v>564</v>
      </c>
      <c r="D167" s="3">
        <v>244</v>
      </c>
      <c r="E167" s="3">
        <v>279405</v>
      </c>
      <c r="F167" s="3">
        <v>8.43</v>
      </c>
      <c r="G167" s="3">
        <v>26024</v>
      </c>
    </row>
    <row r="168" spans="1:7" ht="15.75" customHeight="1">
      <c r="A168" s="4">
        <v>45831</v>
      </c>
      <c r="B168" s="1" t="s">
        <v>24</v>
      </c>
      <c r="C168" s="3">
        <v>668</v>
      </c>
      <c r="D168" s="3">
        <v>124</v>
      </c>
      <c r="E168" s="3">
        <v>257485</v>
      </c>
      <c r="F168" s="3">
        <v>7.55</v>
      </c>
      <c r="G168" s="3">
        <v>26730</v>
      </c>
    </row>
    <row r="169" spans="1:7" ht="15.75" customHeight="1">
      <c r="A169" s="4">
        <v>45831</v>
      </c>
      <c r="B169" s="1" t="s">
        <v>31</v>
      </c>
      <c r="C169" s="3">
        <v>761</v>
      </c>
      <c r="D169" s="3">
        <v>241</v>
      </c>
      <c r="E169" s="3">
        <v>154977</v>
      </c>
      <c r="F169" s="3">
        <v>5.63</v>
      </c>
      <c r="G169" s="3">
        <v>10563</v>
      </c>
    </row>
    <row r="170" spans="1:7" ht="15.75" customHeight="1">
      <c r="A170" s="4">
        <v>45838</v>
      </c>
      <c r="B170" s="1" t="s">
        <v>14</v>
      </c>
      <c r="C170" s="3">
        <v>593</v>
      </c>
      <c r="D170" s="3">
        <v>108</v>
      </c>
      <c r="E170" s="3">
        <v>216500</v>
      </c>
      <c r="F170" s="3">
        <v>4.71</v>
      </c>
      <c r="G170" s="3">
        <v>27575</v>
      </c>
    </row>
    <row r="171" spans="1:7" ht="15.75" customHeight="1">
      <c r="A171" s="4">
        <v>45838</v>
      </c>
      <c r="B171" s="1" t="s">
        <v>24</v>
      </c>
      <c r="C171" s="3">
        <v>1349</v>
      </c>
      <c r="D171" s="3">
        <v>115</v>
      </c>
      <c r="E171" s="3">
        <v>102102</v>
      </c>
      <c r="F171" s="3">
        <v>5.28</v>
      </c>
      <c r="G171" s="3">
        <v>14479</v>
      </c>
    </row>
    <row r="172" spans="1:7" ht="15.75" customHeight="1">
      <c r="A172" s="4">
        <v>45838</v>
      </c>
      <c r="B172" s="1" t="s">
        <v>31</v>
      </c>
      <c r="C172" s="3">
        <v>693</v>
      </c>
      <c r="D172" s="3">
        <v>97</v>
      </c>
      <c r="E172" s="3">
        <v>92025</v>
      </c>
      <c r="F172" s="3">
        <v>5.95</v>
      </c>
      <c r="G172" s="3">
        <v>15915</v>
      </c>
    </row>
    <row r="173" spans="1:7" ht="15.75" customHeight="1">
      <c r="A173" s="4">
        <v>45845</v>
      </c>
      <c r="B173" s="1" t="s">
        <v>14</v>
      </c>
      <c r="C173" s="3">
        <v>974</v>
      </c>
      <c r="D173" s="3">
        <v>143</v>
      </c>
      <c r="E173" s="3">
        <v>247965</v>
      </c>
      <c r="F173" s="3">
        <v>9.98</v>
      </c>
      <c r="G173" s="3">
        <v>12767</v>
      </c>
    </row>
    <row r="174" spans="1:7" ht="15.75" customHeight="1">
      <c r="A174" s="4">
        <v>45845</v>
      </c>
      <c r="B174" s="1" t="s">
        <v>24</v>
      </c>
      <c r="C174" s="3">
        <v>1155</v>
      </c>
      <c r="D174" s="3">
        <v>122</v>
      </c>
      <c r="E174" s="3">
        <v>387352</v>
      </c>
      <c r="F174" s="3">
        <v>9.93</v>
      </c>
      <c r="G174" s="3">
        <v>12170</v>
      </c>
    </row>
    <row r="175" spans="1:7" ht="15.75" customHeight="1">
      <c r="A175" s="4">
        <v>45845</v>
      </c>
      <c r="B175" s="1" t="s">
        <v>31</v>
      </c>
      <c r="C175" s="3">
        <v>1051</v>
      </c>
      <c r="D175" s="3">
        <v>246</v>
      </c>
      <c r="E175" s="3">
        <v>253985</v>
      </c>
      <c r="F175" s="3">
        <v>9.08</v>
      </c>
      <c r="G175" s="3">
        <v>7245</v>
      </c>
    </row>
    <row r="176" spans="1:7" ht="15.75" customHeight="1">
      <c r="A176" s="4">
        <v>45852</v>
      </c>
      <c r="B176" s="1" t="s">
        <v>14</v>
      </c>
      <c r="C176" s="3">
        <v>1457</v>
      </c>
      <c r="D176" s="3">
        <v>183</v>
      </c>
      <c r="E176" s="3">
        <v>129640</v>
      </c>
      <c r="F176" s="3">
        <v>7.98</v>
      </c>
      <c r="G176" s="3">
        <v>12985</v>
      </c>
    </row>
    <row r="177" spans="1:7" ht="15.75" customHeight="1">
      <c r="A177" s="4">
        <v>45852</v>
      </c>
      <c r="B177" s="1" t="s">
        <v>24</v>
      </c>
      <c r="C177" s="3">
        <v>670</v>
      </c>
      <c r="D177" s="3">
        <v>242</v>
      </c>
      <c r="E177" s="3">
        <v>281913</v>
      </c>
      <c r="F177" s="3">
        <v>9.6199999999999992</v>
      </c>
      <c r="G177" s="3">
        <v>16377</v>
      </c>
    </row>
    <row r="178" spans="1:7" ht="15.75" customHeight="1">
      <c r="A178" s="4">
        <v>45852</v>
      </c>
      <c r="B178" s="1" t="s">
        <v>31</v>
      </c>
      <c r="C178" s="3">
        <v>1111</v>
      </c>
      <c r="D178" s="3">
        <v>159</v>
      </c>
      <c r="E178" s="3">
        <v>360770</v>
      </c>
      <c r="F178" s="3">
        <v>8.7100000000000009</v>
      </c>
      <c r="G178" s="3">
        <v>11453</v>
      </c>
    </row>
    <row r="179" spans="1:7" ht="15.75" customHeight="1">
      <c r="A179" s="4">
        <v>45859</v>
      </c>
      <c r="B179" s="1" t="s">
        <v>14</v>
      </c>
      <c r="C179" s="3">
        <v>1197</v>
      </c>
      <c r="D179" s="3">
        <v>246</v>
      </c>
      <c r="E179" s="3">
        <v>127273</v>
      </c>
      <c r="F179" s="3">
        <v>6.69</v>
      </c>
      <c r="G179" s="3">
        <v>12323</v>
      </c>
    </row>
    <row r="180" spans="1:7" ht="15.75" customHeight="1">
      <c r="A180" s="4">
        <v>45859</v>
      </c>
      <c r="B180" s="1" t="s">
        <v>24</v>
      </c>
      <c r="C180" s="3">
        <v>754</v>
      </c>
      <c r="D180" s="3">
        <v>150</v>
      </c>
      <c r="E180" s="3">
        <v>189622</v>
      </c>
      <c r="F180" s="3">
        <v>4.25</v>
      </c>
      <c r="G180" s="3">
        <v>11911</v>
      </c>
    </row>
    <row r="181" spans="1:7" ht="15.75" customHeight="1">
      <c r="A181" s="4">
        <v>45859</v>
      </c>
      <c r="B181" s="1" t="s">
        <v>31</v>
      </c>
      <c r="C181" s="3">
        <v>1246</v>
      </c>
      <c r="D181" s="3">
        <v>107</v>
      </c>
      <c r="E181" s="3">
        <v>350949</v>
      </c>
      <c r="F181" s="3">
        <v>4.9800000000000004</v>
      </c>
      <c r="G181" s="3">
        <v>27809</v>
      </c>
    </row>
    <row r="182" spans="1:7" ht="15.75" customHeight="1">
      <c r="A182" s="4">
        <v>45866</v>
      </c>
      <c r="B182" s="1" t="s">
        <v>14</v>
      </c>
      <c r="C182" s="3">
        <v>780</v>
      </c>
      <c r="D182" s="3">
        <v>213</v>
      </c>
      <c r="E182" s="3">
        <v>121431</v>
      </c>
      <c r="F182" s="3">
        <v>4.97</v>
      </c>
      <c r="G182" s="3">
        <v>21464</v>
      </c>
    </row>
    <row r="183" spans="1:7" ht="15.75" customHeight="1">
      <c r="A183" s="4">
        <v>45866</v>
      </c>
      <c r="B183" s="1" t="s">
        <v>24</v>
      </c>
      <c r="C183" s="3">
        <v>1425</v>
      </c>
      <c r="D183" s="3">
        <v>143</v>
      </c>
      <c r="E183" s="3">
        <v>116742</v>
      </c>
      <c r="F183" s="3">
        <v>3.71</v>
      </c>
      <c r="G183" s="3">
        <v>27126</v>
      </c>
    </row>
    <row r="184" spans="1:7" ht="15.75" customHeight="1">
      <c r="A184" s="4">
        <v>45866</v>
      </c>
      <c r="B184" s="1" t="s">
        <v>31</v>
      </c>
      <c r="C184" s="3">
        <v>1490</v>
      </c>
      <c r="D184" s="3">
        <v>103</v>
      </c>
      <c r="E184" s="3">
        <v>81184</v>
      </c>
      <c r="F184" s="3">
        <v>7.79</v>
      </c>
      <c r="G184" s="3">
        <v>10681</v>
      </c>
    </row>
    <row r="185" spans="1:7" ht="15.75" customHeight="1">
      <c r="A185" s="4">
        <v>45873</v>
      </c>
      <c r="B185" s="1" t="s">
        <v>14</v>
      </c>
      <c r="C185" s="3">
        <v>949</v>
      </c>
      <c r="D185" s="3">
        <v>282</v>
      </c>
      <c r="E185" s="3">
        <v>87126</v>
      </c>
      <c r="F185" s="3">
        <v>4.96</v>
      </c>
      <c r="G185" s="3">
        <v>5413</v>
      </c>
    </row>
    <row r="186" spans="1:7" ht="15.75" customHeight="1">
      <c r="A186" s="4">
        <v>45873</v>
      </c>
      <c r="B186" s="1" t="s">
        <v>24</v>
      </c>
      <c r="C186" s="3">
        <v>640</v>
      </c>
      <c r="D186" s="3">
        <v>141</v>
      </c>
      <c r="E186" s="3">
        <v>267546</v>
      </c>
      <c r="F186" s="3">
        <v>8.58</v>
      </c>
      <c r="G186" s="3">
        <v>25058</v>
      </c>
    </row>
    <row r="187" spans="1:7" ht="15.75" customHeight="1">
      <c r="A187" s="4">
        <v>45873</v>
      </c>
      <c r="B187" s="1" t="s">
        <v>31</v>
      </c>
      <c r="C187" s="3">
        <v>616</v>
      </c>
      <c r="D187" s="3">
        <v>93</v>
      </c>
      <c r="E187" s="3">
        <v>133082</v>
      </c>
      <c r="F187" s="3">
        <v>8.51</v>
      </c>
      <c r="G187" s="3">
        <v>18303</v>
      </c>
    </row>
    <row r="188" spans="1:7" ht="15.75" customHeight="1">
      <c r="A188" s="4">
        <v>45880</v>
      </c>
      <c r="B188" s="1" t="s">
        <v>14</v>
      </c>
      <c r="C188" s="3">
        <v>1080</v>
      </c>
      <c r="D188" s="3">
        <v>184</v>
      </c>
      <c r="E188" s="3">
        <v>340557</v>
      </c>
      <c r="F188" s="3">
        <v>5.41</v>
      </c>
      <c r="G188" s="3">
        <v>5526</v>
      </c>
    </row>
    <row r="189" spans="1:7" ht="15.75" customHeight="1">
      <c r="A189" s="4">
        <v>45880</v>
      </c>
      <c r="B189" s="1" t="s">
        <v>24</v>
      </c>
      <c r="C189" s="3">
        <v>938</v>
      </c>
      <c r="D189" s="3">
        <v>236</v>
      </c>
      <c r="E189" s="3">
        <v>116472</v>
      </c>
      <c r="F189" s="3">
        <v>8.7200000000000006</v>
      </c>
      <c r="G189" s="3">
        <v>17460</v>
      </c>
    </row>
    <row r="190" spans="1:7" ht="15.75" customHeight="1">
      <c r="A190" s="4">
        <v>45880</v>
      </c>
      <c r="B190" s="1" t="s">
        <v>31</v>
      </c>
      <c r="C190" s="3">
        <v>1007</v>
      </c>
      <c r="D190" s="3">
        <v>258</v>
      </c>
      <c r="E190" s="3">
        <v>113412</v>
      </c>
      <c r="F190" s="3">
        <v>7.71</v>
      </c>
      <c r="G190" s="3">
        <v>14475</v>
      </c>
    </row>
    <row r="191" spans="1:7" ht="15.75" customHeight="1">
      <c r="A191" s="4">
        <v>45887</v>
      </c>
      <c r="B191" s="1" t="s">
        <v>14</v>
      </c>
      <c r="C191" s="3">
        <v>541</v>
      </c>
      <c r="D191" s="3">
        <v>208</v>
      </c>
      <c r="E191" s="3">
        <v>157547</v>
      </c>
      <c r="F191" s="3">
        <v>8.35</v>
      </c>
      <c r="G191" s="3">
        <v>20162</v>
      </c>
    </row>
    <row r="192" spans="1:7" ht="15.75" customHeight="1">
      <c r="A192" s="4">
        <v>45887</v>
      </c>
      <c r="B192" s="1" t="s">
        <v>24</v>
      </c>
      <c r="C192" s="3">
        <v>745</v>
      </c>
      <c r="D192" s="3">
        <v>98</v>
      </c>
      <c r="E192" s="3">
        <v>354816</v>
      </c>
      <c r="F192" s="3">
        <v>4.03</v>
      </c>
      <c r="G192" s="3">
        <v>17103</v>
      </c>
    </row>
    <row r="193" spans="1:7" ht="15.75" customHeight="1">
      <c r="A193" s="4">
        <v>45887</v>
      </c>
      <c r="B193" s="1" t="s">
        <v>31</v>
      </c>
      <c r="C193" s="3">
        <v>936</v>
      </c>
      <c r="D193" s="3">
        <v>97</v>
      </c>
      <c r="E193" s="3">
        <v>151799</v>
      </c>
      <c r="F193" s="3">
        <v>9.3699999999999992</v>
      </c>
      <c r="G193" s="3">
        <v>15461</v>
      </c>
    </row>
    <row r="194" spans="1:7" ht="15.75" customHeight="1">
      <c r="A194" s="4">
        <v>45894</v>
      </c>
      <c r="B194" s="1" t="s">
        <v>14</v>
      </c>
      <c r="C194" s="3">
        <v>1183</v>
      </c>
      <c r="D194" s="3">
        <v>223</v>
      </c>
      <c r="E194" s="3">
        <v>143811</v>
      </c>
      <c r="F194" s="3">
        <v>6.07</v>
      </c>
      <c r="G194" s="3">
        <v>22103</v>
      </c>
    </row>
    <row r="195" spans="1:7" ht="15.75" customHeight="1">
      <c r="A195" s="4">
        <v>45894</v>
      </c>
      <c r="B195" s="1" t="s">
        <v>24</v>
      </c>
      <c r="C195" s="3">
        <v>1413</v>
      </c>
      <c r="D195" s="3">
        <v>245</v>
      </c>
      <c r="E195" s="3">
        <v>296450</v>
      </c>
      <c r="F195" s="3">
        <v>6.52</v>
      </c>
      <c r="G195" s="3">
        <v>11625</v>
      </c>
    </row>
    <row r="196" spans="1:7" ht="15.75" customHeight="1">
      <c r="A196" s="4">
        <v>45894</v>
      </c>
      <c r="B196" s="1" t="s">
        <v>31</v>
      </c>
      <c r="C196" s="3">
        <v>791</v>
      </c>
      <c r="D196" s="3">
        <v>273</v>
      </c>
      <c r="E196" s="3">
        <v>144049</v>
      </c>
      <c r="F196" s="3">
        <v>3.08</v>
      </c>
      <c r="G196" s="3">
        <v>5281</v>
      </c>
    </row>
    <row r="197" spans="1:7" ht="15.75" customHeight="1">
      <c r="A197" s="4">
        <v>45901</v>
      </c>
      <c r="B197" s="1" t="s">
        <v>14</v>
      </c>
      <c r="C197" s="3">
        <v>1052</v>
      </c>
      <c r="D197" s="3">
        <v>180</v>
      </c>
      <c r="E197" s="3">
        <v>272534</v>
      </c>
      <c r="F197" s="3">
        <v>5.34</v>
      </c>
      <c r="G197" s="3">
        <v>13424</v>
      </c>
    </row>
    <row r="198" spans="1:7" ht="15.75" customHeight="1">
      <c r="A198" s="4">
        <v>45901</v>
      </c>
      <c r="B198" s="1" t="s">
        <v>24</v>
      </c>
      <c r="C198" s="3">
        <v>572</v>
      </c>
      <c r="D198" s="3">
        <v>270</v>
      </c>
      <c r="E198" s="3">
        <v>82265</v>
      </c>
      <c r="F198" s="3">
        <v>3.65</v>
      </c>
      <c r="G198" s="3">
        <v>13140</v>
      </c>
    </row>
    <row r="199" spans="1:7" ht="15.75" customHeight="1">
      <c r="A199" s="4">
        <v>45901</v>
      </c>
      <c r="B199" s="1" t="s">
        <v>31</v>
      </c>
      <c r="C199" s="3">
        <v>503</v>
      </c>
      <c r="D199" s="3">
        <v>253</v>
      </c>
      <c r="E199" s="3">
        <v>313562</v>
      </c>
      <c r="F199" s="3">
        <v>4.18</v>
      </c>
      <c r="G199" s="3">
        <v>19538</v>
      </c>
    </row>
    <row r="200" spans="1:7" ht="15.75" customHeight="1">
      <c r="A200" s="4">
        <v>45908</v>
      </c>
      <c r="B200" s="1" t="s">
        <v>14</v>
      </c>
      <c r="C200" s="3">
        <v>1017</v>
      </c>
      <c r="D200" s="3">
        <v>197</v>
      </c>
      <c r="E200" s="3">
        <v>89918</v>
      </c>
      <c r="F200" s="3">
        <v>3.91</v>
      </c>
      <c r="G200" s="3">
        <v>7881</v>
      </c>
    </row>
    <row r="201" spans="1:7" ht="15.75" customHeight="1">
      <c r="A201" s="4">
        <v>45908</v>
      </c>
      <c r="B201" s="1" t="s">
        <v>24</v>
      </c>
      <c r="C201" s="3">
        <v>860</v>
      </c>
      <c r="D201" s="3">
        <v>244</v>
      </c>
      <c r="E201" s="3">
        <v>348686</v>
      </c>
      <c r="F201" s="3">
        <v>5.12</v>
      </c>
      <c r="G201" s="3">
        <v>11418</v>
      </c>
    </row>
    <row r="202" spans="1:7" ht="15.75" customHeight="1"/>
    <row r="203" spans="1:7" ht="15.75" customHeight="1"/>
    <row r="204" spans="1:7" ht="15.75" customHeight="1"/>
    <row r="205" spans="1:7" ht="15.75" customHeight="1"/>
    <row r="206" spans="1:7" ht="15.75" customHeight="1"/>
    <row r="207" spans="1:7" ht="15.75" customHeight="1"/>
    <row r="208" spans="1:7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000"/>
  <sheetViews>
    <sheetView workbookViewId="0"/>
  </sheetViews>
  <sheetFormatPr defaultColWidth="14.44140625" defaultRowHeight="15" customHeight="1"/>
  <cols>
    <col min="1" max="2" width="8.6640625" customWidth="1"/>
    <col min="3" max="3" width="22.6640625" customWidth="1"/>
    <col min="4" max="4" width="23" customWidth="1"/>
    <col min="5" max="5" width="8.6640625" customWidth="1"/>
    <col min="6" max="6" width="15.44140625" customWidth="1"/>
    <col min="7" max="7" width="17" customWidth="1"/>
    <col min="8" max="8" width="14.6640625" customWidth="1"/>
    <col min="9" max="9" width="18.88671875" customWidth="1"/>
    <col min="10" max="28" width="8.6640625" customWidth="1"/>
  </cols>
  <sheetData>
    <row r="1" spans="1:9" ht="14.4">
      <c r="A1" s="5" t="s">
        <v>12</v>
      </c>
      <c r="B1" s="5" t="s">
        <v>347</v>
      </c>
      <c r="C1" s="5" t="s">
        <v>348</v>
      </c>
      <c r="D1" s="5"/>
      <c r="E1" s="5"/>
      <c r="F1" s="5" t="s">
        <v>349</v>
      </c>
      <c r="G1" s="5" t="s">
        <v>350</v>
      </c>
      <c r="H1" s="5" t="s">
        <v>351</v>
      </c>
      <c r="I1" s="5" t="s">
        <v>352</v>
      </c>
    </row>
    <row r="2" spans="1:9" ht="14.4">
      <c r="A2" s="6" t="s">
        <v>59</v>
      </c>
      <c r="B2" s="6" t="s">
        <v>353</v>
      </c>
      <c r="C2" s="6" t="s">
        <v>354</v>
      </c>
      <c r="D2" s="6">
        <f>AVERAGEIFS(task_2_unsplit_dataset[Engagement rate],task_2_unsplit_dataset[Date],"&lt;"&amp;B2)</f>
        <v>8.7615170421619412E-2</v>
      </c>
      <c r="E2" s="20"/>
      <c r="F2" s="6" t="s">
        <v>355</v>
      </c>
      <c r="G2" s="6">
        <v>175000</v>
      </c>
      <c r="H2" s="6" t="s">
        <v>356</v>
      </c>
      <c r="I2" s="6" t="s">
        <v>357</v>
      </c>
    </row>
    <row r="3" spans="1:9" ht="14.4">
      <c r="A3" s="6" t="s">
        <v>55</v>
      </c>
      <c r="B3" s="6" t="s">
        <v>358</v>
      </c>
      <c r="C3" s="6" t="s">
        <v>359</v>
      </c>
      <c r="D3" s="6">
        <f>AVERAGEIFS(task_2_unsplit_dataset[Engagement rate],task_2_unsplit_dataset[Date],"&lt;"&amp;B3)</f>
        <v>9.013733830016836E-2</v>
      </c>
      <c r="E3" s="6"/>
      <c r="F3" s="6" t="s">
        <v>360</v>
      </c>
      <c r="G3" s="6">
        <v>225000</v>
      </c>
      <c r="H3" s="6" t="s">
        <v>361</v>
      </c>
      <c r="I3" s="6" t="s">
        <v>362</v>
      </c>
    </row>
    <row r="4" spans="1:9" ht="14.4">
      <c r="A4" s="6" t="s">
        <v>18</v>
      </c>
      <c r="B4" s="6" t="s">
        <v>363</v>
      </c>
      <c r="C4" s="6" t="s">
        <v>364</v>
      </c>
      <c r="D4" s="6">
        <f>AVERAGEIFS(task_2_unsplit_dataset[Engagement rate],task_2_unsplit_dataset[Date],"&lt;"&amp;B4)</f>
        <v>9.0969117200630001E-2</v>
      </c>
      <c r="E4" s="6"/>
      <c r="F4" s="6" t="s">
        <v>365</v>
      </c>
      <c r="G4" s="6">
        <v>200000</v>
      </c>
      <c r="H4" s="6" t="s">
        <v>366</v>
      </c>
      <c r="I4" s="6" t="s">
        <v>367</v>
      </c>
    </row>
    <row r="5" spans="1:9" ht="14.4">
      <c r="A5" s="6" t="s">
        <v>22</v>
      </c>
      <c r="B5" s="6" t="s">
        <v>368</v>
      </c>
      <c r="C5" s="6" t="s">
        <v>369</v>
      </c>
      <c r="D5" s="6">
        <f>AVERAGEIFS(task_2_unsplit_dataset[Engagement rate],task_2_unsplit_dataset[Date],"&lt;"&amp;B5)</f>
        <v>9.2816605169476901E-2</v>
      </c>
      <c r="E5" s="6"/>
      <c r="F5" s="6" t="s">
        <v>370</v>
      </c>
      <c r="G5" s="6">
        <v>160000</v>
      </c>
      <c r="H5" s="6" t="s">
        <v>371</v>
      </c>
      <c r="I5" s="6" t="s">
        <v>372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531E11A7-8980-4BFB-8A7A-EB015661DE69}">
  <ds:schemaRefs/>
</ds:datastoreItem>
</file>

<file path=customXml/itemProps2.xml><?xml version="1.0" encoding="utf-8"?>
<ds:datastoreItem xmlns:ds="http://schemas.openxmlformats.org/officeDocument/2006/customXml" ds:itemID="{D076441D-1393-448B-8C83-5C6B19828260}">
  <ds:schemaRefs/>
</ds:datastoreItem>
</file>

<file path=customXml/itemProps3.xml><?xml version="1.0" encoding="utf-8"?>
<ds:datastoreItem xmlns:ds="http://schemas.openxmlformats.org/officeDocument/2006/customXml" ds:itemID="{E40B04BB-B2E0-4173-B8DF-ABFE13B25E3C}">
  <ds:schemaRefs/>
</ds:datastoreItem>
</file>

<file path=customXml/itemProps4.xml><?xml version="1.0" encoding="utf-8"?>
<ds:datastoreItem xmlns:ds="http://schemas.openxmlformats.org/officeDocument/2006/customXml" ds:itemID="{0510F511-5F3E-4E21-8243-EE01844695FC}">
  <ds:schemaRefs/>
</ds:datastoreItem>
</file>

<file path=customXml/itemProps5.xml><?xml version="1.0" encoding="utf-8"?>
<ds:datastoreItem xmlns:ds="http://schemas.openxmlformats.org/officeDocument/2006/customXml" ds:itemID="{4E59E223-05B2-44D4-A7F1-F8382CE46628}">
  <ds:schemaRefs/>
</ds:datastoreItem>
</file>

<file path=customXml/itemProps6.xml><?xml version="1.0" encoding="utf-8"?>
<ds:datastoreItem xmlns:ds="http://schemas.openxmlformats.org/officeDocument/2006/customXml" ds:itemID="{30A56F31-E026-44F2-B1D6-B5F8FFF5EE68}">
  <ds:schemaRefs/>
</ds:datastoreItem>
</file>

<file path=customXml/itemProps7.xml><?xml version="1.0" encoding="utf-8"?>
<ds:datastoreItem xmlns:ds="http://schemas.openxmlformats.org/officeDocument/2006/customXml" ds:itemID="{710CEDD6-D3A1-41B1-BE52-95523B472F36}">
  <ds:schemaRefs/>
</ds:datastoreItem>
</file>

<file path=customXml/itemProps8.xml><?xml version="1.0" encoding="utf-8"?>
<ds:datastoreItem xmlns:ds="http://schemas.openxmlformats.org/officeDocument/2006/customXml" ds:itemID="{B2599A24-4BEE-4DAD-81A1-35F5923DAB8E}">
  <ds:schemaRefs/>
</ds:datastoreItem>
</file>

<file path=customXml/itemProps9.xml><?xml version="1.0" encoding="utf-8"?>
<ds:datastoreItem xmlns:ds="http://schemas.openxmlformats.org/officeDocument/2006/customXml" ds:itemID="{3646BFB4-1021-4159-9CB4-4D7AC954E30C}">
  <ds:schemaRefs/>
</ds:datastoreItem>
</file>

<file path=customXml/itemProps10.xml><?xml version="1.0" encoding="utf-8"?>
<ds:datastoreItem xmlns:ds="http://schemas.openxmlformats.org/officeDocument/2006/customXml" ds:itemID="{002D43FB-D5E6-46D0-BCEB-F69D0F2ECA71}">
  <ds:schemaRefs/>
</ds:datastoreItem>
</file>

<file path=customXml/itemProps11.xml><?xml version="1.0" encoding="utf-8"?>
<ds:datastoreItem xmlns:ds="http://schemas.openxmlformats.org/officeDocument/2006/customXml" ds:itemID="{4844108E-B4F8-4DEC-B722-B204139AA5B1}">
  <ds:schemaRefs/>
</ds:datastoreItem>
</file>

<file path=customXml/itemProps12.xml><?xml version="1.0" encoding="utf-8"?>
<ds:datastoreItem xmlns:ds="http://schemas.openxmlformats.org/officeDocument/2006/customXml" ds:itemID="{E267B34C-4A70-441D-A708-67802EEFE5BE}">
  <ds:schemaRefs/>
</ds:datastoreItem>
</file>

<file path=customXml/itemProps13.xml><?xml version="1.0" encoding="utf-8"?>
<ds:datastoreItem xmlns:ds="http://schemas.openxmlformats.org/officeDocument/2006/customXml" ds:itemID="{50181152-4F50-437A-A99E-BC765C130064}">
  <ds:schemaRefs/>
</ds:datastoreItem>
</file>

<file path=customXml/itemProps14.xml><?xml version="1.0" encoding="utf-8"?>
<ds:datastoreItem xmlns:ds="http://schemas.openxmlformats.org/officeDocument/2006/customXml" ds:itemID="{C6FC4DD5-25A3-47EC-A206-E62FB0E4C28F}">
  <ds:schemaRefs/>
</ds:datastoreItem>
</file>

<file path=customXml/itemProps15.xml><?xml version="1.0" encoding="utf-8"?>
<ds:datastoreItem xmlns:ds="http://schemas.openxmlformats.org/officeDocument/2006/customXml" ds:itemID="{7165D219-2650-4472-BCAF-00635F175E83}">
  <ds:schemaRefs/>
</ds:datastoreItem>
</file>

<file path=customXml/itemProps16.xml><?xml version="1.0" encoding="utf-8"?>
<ds:datastoreItem xmlns:ds="http://schemas.openxmlformats.org/officeDocument/2006/customXml" ds:itemID="{2D627513-6CC3-4560-AB7D-7756719C9CF3}">
  <ds:schemaRefs>
    <ds:schemaRef ds:uri="http://schemas.microsoft.com/DataMashup"/>
  </ds:schemaRefs>
</ds:datastoreItem>
</file>

<file path=customXml/itemProps17.xml><?xml version="1.0" encoding="utf-8"?>
<ds:datastoreItem xmlns:ds="http://schemas.openxmlformats.org/officeDocument/2006/customXml" ds:itemID="{3EC7F2A1-3202-454D-96FE-56FD899ED9DB}">
  <ds:schemaRefs/>
</ds:datastoreItem>
</file>

<file path=customXml/itemProps18.xml><?xml version="1.0" encoding="utf-8"?>
<ds:datastoreItem xmlns:ds="http://schemas.openxmlformats.org/officeDocument/2006/customXml" ds:itemID="{A0D173E9-5652-4422-BAF9-C56F68A999E3}">
  <ds:schemaRefs/>
</ds:datastoreItem>
</file>

<file path=customXml/itemProps19.xml><?xml version="1.0" encoding="utf-8"?>
<ds:datastoreItem xmlns:ds="http://schemas.openxmlformats.org/officeDocument/2006/customXml" ds:itemID="{EF45E8B6-E7B8-4CA9-8EB2-DAFCF2764C82}">
  <ds:schemaRefs/>
</ds:datastoreItem>
</file>

<file path=customXml/itemProps20.xml><?xml version="1.0" encoding="utf-8"?>
<ds:datastoreItem xmlns:ds="http://schemas.openxmlformats.org/officeDocument/2006/customXml" ds:itemID="{4EE09500-3DA5-403D-AD86-815D7C28B8C9}">
  <ds:schemaRefs/>
</ds:datastoreItem>
</file>

<file path=customXml/itemProps21.xml><?xml version="1.0" encoding="utf-8"?>
<ds:datastoreItem xmlns:ds="http://schemas.openxmlformats.org/officeDocument/2006/customXml" ds:itemID="{738651B6-B72A-4133-853A-C5B19FB5B45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Task 1</vt:lpstr>
      <vt:lpstr>task 2 engagement rate</vt:lpstr>
      <vt:lpstr>task 2 top 10 posts</vt:lpstr>
      <vt:lpstr>task 2 pivot table</vt:lpstr>
      <vt:lpstr>Task 3</vt:lpstr>
      <vt:lpstr>task 4</vt:lpstr>
      <vt:lpstr>task 2 unsplit dataset</vt:lpstr>
      <vt:lpstr>task 5</vt:lpstr>
      <vt:lpstr>task 5 sums nd avg</vt:lpstr>
      <vt:lpstr>Roi &amp; follower growth</vt:lpstr>
      <vt:lpstr>Task 6 FL Gain &amp; Correltion</vt:lpstr>
      <vt:lpstr> Task 6 moving Avg</vt:lpstr>
      <vt:lpstr>Task 7 vid explanation</vt:lpstr>
      <vt:lpstr>Readme,Summery,Sub info</vt:lpstr>
      <vt:lpstr>Posts (PQ)</vt:lpstr>
      <vt:lpstr>Engagement Summary (PQ)</vt:lpstr>
      <vt:lpstr>Campaign Metadata (PQ)</vt:lpstr>
      <vt:lpstr>Posts</vt:lpstr>
      <vt:lpstr>Engagement Summary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ProPhet</dc:creator>
  <cp:lastModifiedBy>Srijan Roy</cp:lastModifiedBy>
  <dcterms:created xsi:type="dcterms:W3CDTF">2025-10-12T04:56:38Z</dcterms:created>
  <dcterms:modified xsi:type="dcterms:W3CDTF">2025-10-16T00:25:23Z</dcterms:modified>
</cp:coreProperties>
</file>